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D:\docker\aircraft_prof\"/>
    </mc:Choice>
  </mc:AlternateContent>
  <xr:revisionPtr revIDLastSave="0" documentId="13_ncr:1_{313519DD-FE0F-4D73-AD0F-A6CB815012B8}" xr6:coauthVersionLast="47" xr6:coauthVersionMax="47" xr10:uidLastSave="{00000000-0000-0000-0000-000000000000}"/>
  <bookViews>
    <workbookView xWindow="2160" yWindow="2160" windowWidth="31995" windowHeight="18735" tabRatio="592" activeTab="2" xr2:uid="{CE4153D3-8510-403A-BF9E-3C323337B550}"/>
  </bookViews>
  <sheets>
    <sheet name="AL State" sheetId="19" r:id="rId1"/>
    <sheet name="Aircraft" sheetId="1" r:id="rId2"/>
    <sheet name="Aircraft Data" sheetId="3" r:id="rId3"/>
    <sheet name="Compiler" sheetId="9" r:id="rId4"/>
    <sheet name="AFM Climb" sheetId="10" r:id="rId5"/>
    <sheet name="AFMl35 cruise" sheetId="11" r:id="rId6"/>
    <sheet name="Legacy Data" sheetId="18" r:id="rId7"/>
  </sheets>
  <definedNames>
    <definedName name="Aircraft">'Aircraft Data'!$D$1:$CL$23</definedName>
    <definedName name="data">Aircraft!$O$9</definedName>
    <definedName name="data1">Aircraft!$1:$3</definedName>
    <definedName name="title1">Aircraft!$1:$1</definedName>
    <definedName name="title2">Aircraft!$2:$2</definedName>
    <definedName name="value1">Aircraft!$3:$3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 i="3" l="1"/>
  <c r="F7" i="3" s="1"/>
  <c r="F8" i="3" s="1"/>
  <c r="F9" i="3" s="1"/>
  <c r="F10" i="3" s="1"/>
  <c r="F11" i="3" s="1"/>
  <c r="F12" i="3" s="1"/>
  <c r="F13" i="3" s="1"/>
  <c r="F14" i="3" s="1"/>
  <c r="F15" i="3" s="1"/>
  <c r="F16" i="3" s="1"/>
  <c r="F17" i="3" s="1"/>
  <c r="F18" i="3" s="1"/>
  <c r="F19" i="3" s="1"/>
  <c r="F20" i="3" s="1"/>
  <c r="F21" i="3" s="1"/>
  <c r="F22" i="3" s="1"/>
  <c r="F23" i="3" s="1"/>
  <c r="F5" i="3"/>
  <c r="H5" i="3"/>
  <c r="H6" i="3" s="1"/>
  <c r="H7" i="3" s="1"/>
  <c r="H8" i="3" s="1"/>
  <c r="H9" i="3" s="1"/>
  <c r="H10" i="3" s="1"/>
  <c r="H11" i="3" s="1"/>
  <c r="H12" i="3" s="1"/>
  <c r="H13" i="3" s="1"/>
  <c r="H14" i="3" s="1"/>
  <c r="H15" i="3" s="1"/>
  <c r="H16" i="3" s="1"/>
  <c r="H17" i="3" s="1"/>
  <c r="H18" i="3" s="1"/>
  <c r="H19" i="3" s="1"/>
  <c r="H20" i="3" s="1"/>
  <c r="H21" i="3" s="1"/>
  <c r="H22" i="3" s="1"/>
  <c r="H23" i="3" s="1"/>
  <c r="AY5" i="3"/>
  <c r="AY6" i="3" s="1"/>
  <c r="AY7" i="3" s="1"/>
  <c r="AY8" i="3" s="1"/>
  <c r="AY9" i="3" s="1"/>
  <c r="AY10" i="3" s="1"/>
  <c r="AY11" i="3" s="1"/>
  <c r="AY12" i="3" s="1"/>
  <c r="AY13" i="3" s="1"/>
  <c r="AY14" i="3" s="1"/>
  <c r="AY15" i="3" s="1"/>
  <c r="AY16" i="3" s="1"/>
  <c r="AY17" i="3" s="1"/>
  <c r="AY18" i="3" s="1"/>
  <c r="AY19" i="3" s="1"/>
  <c r="AY20" i="3" s="1"/>
  <c r="AY21" i="3" s="1"/>
  <c r="AY22" i="3" s="1"/>
  <c r="AY23" i="3" s="1"/>
  <c r="AU5" i="3"/>
  <c r="AU6" i="3" s="1"/>
  <c r="AU7" i="3" s="1"/>
  <c r="AU8" i="3" s="1"/>
  <c r="AU9" i="3" s="1"/>
  <c r="AU10" i="3" s="1"/>
  <c r="AU11" i="3" s="1"/>
  <c r="AU12" i="3" s="1"/>
  <c r="AU13" i="3" s="1"/>
  <c r="AU14" i="3" s="1"/>
  <c r="AU15" i="3" s="1"/>
  <c r="AU16" i="3" s="1"/>
  <c r="AU17" i="3" s="1"/>
  <c r="AU18" i="3" s="1"/>
  <c r="AU19" i="3" s="1"/>
  <c r="AU20" i="3" s="1"/>
  <c r="AU21" i="3" s="1"/>
  <c r="AU22" i="3" s="1"/>
  <c r="AU23" i="3" s="1"/>
  <c r="AH5" i="3"/>
  <c r="AH6" i="3" s="1"/>
  <c r="AH7" i="3" s="1"/>
  <c r="AH8" i="3" s="1"/>
  <c r="AH9" i="3" s="1"/>
  <c r="AH10" i="3" s="1"/>
  <c r="AH11" i="3" s="1"/>
  <c r="AH12" i="3" s="1"/>
  <c r="AH13" i="3" s="1"/>
  <c r="AH14" i="3" s="1"/>
  <c r="AH15" i="3" s="1"/>
  <c r="AH16" i="3" s="1"/>
  <c r="AH17" i="3" s="1"/>
  <c r="AH18" i="3" s="1"/>
  <c r="AH19" i="3" s="1"/>
  <c r="AH20" i="3" s="1"/>
  <c r="AH21" i="3" s="1"/>
  <c r="AH22" i="3" s="1"/>
  <c r="AH23" i="3" s="1"/>
  <c r="W5" i="3"/>
  <c r="W6" i="3" s="1"/>
  <c r="W7" i="3" s="1"/>
  <c r="W8" i="3" s="1"/>
  <c r="W9" i="3" s="1"/>
  <c r="W10" i="3" s="1"/>
  <c r="W11" i="3" s="1"/>
  <c r="W12" i="3" s="1"/>
  <c r="W13" i="3" s="1"/>
  <c r="W14" i="3" s="1"/>
  <c r="W15" i="3" s="1"/>
  <c r="W16" i="3" s="1"/>
  <c r="W17" i="3" s="1"/>
  <c r="W18" i="3" s="1"/>
  <c r="W19" i="3" s="1"/>
  <c r="W20" i="3" s="1"/>
  <c r="W21" i="3" s="1"/>
  <c r="W22" i="3" s="1"/>
  <c r="W23" i="3" s="1"/>
  <c r="J5" i="3"/>
  <c r="J6" i="3" s="1"/>
  <c r="J7" i="3" s="1"/>
  <c r="J8" i="3" s="1"/>
  <c r="J9" i="3" s="1"/>
  <c r="J10" i="3" s="1"/>
  <c r="J11" i="3" s="1"/>
  <c r="J12" i="3" s="1"/>
  <c r="J13" i="3" s="1"/>
  <c r="J14" i="3" s="1"/>
  <c r="J15" i="3" s="1"/>
  <c r="J16" i="3" s="1"/>
  <c r="J17" i="3" s="1"/>
  <c r="J18" i="3" s="1"/>
  <c r="J19" i="3" s="1"/>
  <c r="J20" i="3" s="1"/>
  <c r="J21" i="3" s="1"/>
  <c r="J22" i="3" s="1"/>
  <c r="J23" i="3" s="1"/>
  <c r="AF5" i="3"/>
  <c r="AF6" i="3" s="1"/>
  <c r="AF7" i="3" s="1"/>
  <c r="AF8" i="3" s="1"/>
  <c r="AF9" i="3" s="1"/>
  <c r="AF10" i="3" s="1"/>
  <c r="AF11" i="3" s="1"/>
  <c r="AF12" i="3" s="1"/>
  <c r="AF13" i="3" s="1"/>
  <c r="AF14" i="3" s="1"/>
  <c r="AF15" i="3" s="1"/>
  <c r="AF16" i="3" s="1"/>
  <c r="AF17" i="3" s="1"/>
  <c r="AF18" i="3" s="1"/>
  <c r="AF19" i="3" s="1"/>
  <c r="AF20" i="3" s="1"/>
  <c r="AF21" i="3" s="1"/>
  <c r="AF22" i="3" s="1"/>
  <c r="AF23" i="3" s="1"/>
  <c r="C5" i="3"/>
  <c r="C6" i="3" s="1"/>
  <c r="C7" i="3" s="1"/>
  <c r="C8" i="3" s="1"/>
  <c r="C9" i="3" s="1"/>
  <c r="C10" i="3" s="1"/>
  <c r="C11" i="3" s="1"/>
  <c r="C12" i="3" s="1"/>
  <c r="C13" i="3" s="1"/>
  <c r="C14" i="3" s="1"/>
  <c r="C15" i="3" s="1"/>
  <c r="C16" i="3" s="1"/>
  <c r="C17" i="3" s="1"/>
  <c r="C18" i="3" s="1"/>
  <c r="C19" i="3" s="1"/>
  <c r="C20" i="3" s="1"/>
  <c r="C21" i="3" s="1"/>
  <c r="C22" i="3" s="1"/>
  <c r="C23" i="3" s="1"/>
  <c r="E5" i="3"/>
  <c r="E6" i="3" s="1"/>
  <c r="E7" i="3" s="1"/>
  <c r="E8" i="3" s="1"/>
  <c r="E9" i="3" s="1"/>
  <c r="E10" i="3" s="1"/>
  <c r="E11" i="3" s="1"/>
  <c r="E12" i="3" s="1"/>
  <c r="E13" i="3" s="1"/>
  <c r="E14" i="3" s="1"/>
  <c r="E15" i="3" s="1"/>
  <c r="E16" i="3" s="1"/>
  <c r="E17" i="3" s="1"/>
  <c r="E18" i="3" s="1"/>
  <c r="E19" i="3" s="1"/>
  <c r="E20" i="3" s="1"/>
  <c r="E21" i="3" s="1"/>
  <c r="E22" i="3" s="1"/>
  <c r="E23" i="3" s="1"/>
  <c r="L5" i="3"/>
  <c r="L6" i="3" s="1"/>
  <c r="L7" i="3" s="1"/>
  <c r="L8" i="3" s="1"/>
  <c r="L9" i="3" s="1"/>
  <c r="L10" i="3" s="1"/>
  <c r="L11" i="3" s="1"/>
  <c r="L12" i="3" s="1"/>
  <c r="L13" i="3" s="1"/>
  <c r="L14" i="3" s="1"/>
  <c r="L15" i="3" s="1"/>
  <c r="L16" i="3" s="1"/>
  <c r="L17" i="3" s="1"/>
  <c r="L18" i="3" s="1"/>
  <c r="L19" i="3" s="1"/>
  <c r="L20" i="3" s="1"/>
  <c r="L21" i="3" s="1"/>
  <c r="L22" i="3" s="1"/>
  <c r="L23" i="3" s="1"/>
  <c r="N5" i="3"/>
  <c r="N6" i="3" s="1"/>
  <c r="N7" i="3" s="1"/>
  <c r="N8" i="3" s="1"/>
  <c r="N9" i="3" s="1"/>
  <c r="N10" i="3" s="1"/>
  <c r="N11" i="3" s="1"/>
  <c r="N12" i="3" s="1"/>
  <c r="N13" i="3" s="1"/>
  <c r="N14" i="3" s="1"/>
  <c r="N15" i="3" s="1"/>
  <c r="N16" i="3" s="1"/>
  <c r="N17" i="3" s="1"/>
  <c r="N18" i="3" s="1"/>
  <c r="N19" i="3" s="1"/>
  <c r="N20" i="3" s="1"/>
  <c r="N21" i="3" s="1"/>
  <c r="N22" i="3" s="1"/>
  <c r="N23" i="3" s="1"/>
  <c r="P5" i="3"/>
  <c r="P6" i="3" s="1"/>
  <c r="P7" i="3" s="1"/>
  <c r="P8" i="3" s="1"/>
  <c r="P9" i="3" s="1"/>
  <c r="P10" i="3" s="1"/>
  <c r="P11" i="3" s="1"/>
  <c r="P12" i="3" s="1"/>
  <c r="P13" i="3" s="1"/>
  <c r="P14" i="3" s="1"/>
  <c r="P15" i="3" s="1"/>
  <c r="P16" i="3" s="1"/>
  <c r="P17" i="3" s="1"/>
  <c r="P18" i="3" s="1"/>
  <c r="P19" i="3" s="1"/>
  <c r="P20" i="3" s="1"/>
  <c r="P21" i="3" s="1"/>
  <c r="P22" i="3" s="1"/>
  <c r="P23" i="3" s="1"/>
  <c r="R5" i="3"/>
  <c r="R6" i="3" s="1"/>
  <c r="R7" i="3" s="1"/>
  <c r="R8" i="3" s="1"/>
  <c r="R9" i="3" s="1"/>
  <c r="R10" i="3" s="1"/>
  <c r="R11" i="3" s="1"/>
  <c r="R12" i="3" s="1"/>
  <c r="R13" i="3" s="1"/>
  <c r="R14" i="3" s="1"/>
  <c r="R15" i="3" s="1"/>
  <c r="R16" i="3" s="1"/>
  <c r="R17" i="3" s="1"/>
  <c r="R18" i="3" s="1"/>
  <c r="R19" i="3" s="1"/>
  <c r="R20" i="3" s="1"/>
  <c r="R21" i="3" s="1"/>
  <c r="R22" i="3" s="1"/>
  <c r="R23" i="3" s="1"/>
  <c r="T5" i="3"/>
  <c r="T6" i="3" s="1"/>
  <c r="T7" i="3" s="1"/>
  <c r="T8" i="3" s="1"/>
  <c r="T9" i="3" s="1"/>
  <c r="T10" i="3" s="1"/>
  <c r="T11" i="3" s="1"/>
  <c r="T12" i="3" s="1"/>
  <c r="T13" i="3" s="1"/>
  <c r="T14" i="3" s="1"/>
  <c r="T15" i="3" s="1"/>
  <c r="T16" i="3" s="1"/>
  <c r="T17" i="3" s="1"/>
  <c r="T18" i="3" s="1"/>
  <c r="T19" i="3" s="1"/>
  <c r="T20" i="3" s="1"/>
  <c r="T21" i="3" s="1"/>
  <c r="T22" i="3" s="1"/>
  <c r="T23" i="3" s="1"/>
  <c r="V5" i="3"/>
  <c r="V6" i="3" s="1"/>
  <c r="V7" i="3" s="1"/>
  <c r="V8" i="3" s="1"/>
  <c r="V9" i="3" s="1"/>
  <c r="V10" i="3" s="1"/>
  <c r="V11" i="3" s="1"/>
  <c r="V12" i="3" s="1"/>
  <c r="V13" i="3" s="1"/>
  <c r="V14" i="3" s="1"/>
  <c r="V15" i="3" s="1"/>
  <c r="V16" i="3" s="1"/>
  <c r="V17" i="3" s="1"/>
  <c r="V18" i="3" s="1"/>
  <c r="V19" i="3" s="1"/>
  <c r="V20" i="3" s="1"/>
  <c r="V21" i="3" s="1"/>
  <c r="V22" i="3" s="1"/>
  <c r="V23" i="3" s="1"/>
  <c r="X5" i="3"/>
  <c r="X6" i="3" s="1"/>
  <c r="X7" i="3" s="1"/>
  <c r="X8" i="3" s="1"/>
  <c r="X9" i="3" s="1"/>
  <c r="X10" i="3" s="1"/>
  <c r="X11" i="3" s="1"/>
  <c r="X12" i="3" s="1"/>
  <c r="X13" i="3" s="1"/>
  <c r="X14" i="3" s="1"/>
  <c r="X15" i="3" s="1"/>
  <c r="X16" i="3" s="1"/>
  <c r="X17" i="3" s="1"/>
  <c r="X18" i="3" s="1"/>
  <c r="X19" i="3" s="1"/>
  <c r="X20" i="3" s="1"/>
  <c r="X21" i="3" s="1"/>
  <c r="X22" i="3" s="1"/>
  <c r="X23" i="3" s="1"/>
  <c r="M6" i="3"/>
  <c r="Z5" i="3"/>
  <c r="Z6" i="3" s="1"/>
  <c r="Z7" i="3" s="1"/>
  <c r="Z8" i="3" s="1"/>
  <c r="Z9" i="3" s="1"/>
  <c r="Z10" i="3" s="1"/>
  <c r="Z11" i="3" s="1"/>
  <c r="Z12" i="3" s="1"/>
  <c r="Z13" i="3" s="1"/>
  <c r="Z14" i="3" s="1"/>
  <c r="Z15" i="3" s="1"/>
  <c r="Z16" i="3" s="1"/>
  <c r="Z17" i="3" s="1"/>
  <c r="Z18" i="3" s="1"/>
  <c r="Z19" i="3" s="1"/>
  <c r="Z20" i="3" s="1"/>
  <c r="Z21" i="3" s="1"/>
  <c r="Z22" i="3" s="1"/>
  <c r="Z23" i="3" s="1"/>
  <c r="AB5" i="3"/>
  <c r="AB6" i="3" s="1"/>
  <c r="AB7" i="3" s="1"/>
  <c r="AB8" i="3" s="1"/>
  <c r="AB9" i="3" s="1"/>
  <c r="AB10" i="3" s="1"/>
  <c r="AB11" i="3" s="1"/>
  <c r="AB12" i="3" s="1"/>
  <c r="AB13" i="3" s="1"/>
  <c r="AB14" i="3" s="1"/>
  <c r="AB15" i="3" s="1"/>
  <c r="AB16" i="3" s="1"/>
  <c r="AB17" i="3" s="1"/>
  <c r="AB18" i="3" s="1"/>
  <c r="AB19" i="3" s="1"/>
  <c r="AB20" i="3" s="1"/>
  <c r="AB21" i="3" s="1"/>
  <c r="AB22" i="3" s="1"/>
  <c r="AB23" i="3" s="1"/>
  <c r="AD5" i="3"/>
  <c r="AD6" i="3" s="1"/>
  <c r="AD7" i="3" s="1"/>
  <c r="AD8" i="3" s="1"/>
  <c r="AD9" i="3" s="1"/>
  <c r="AD10" i="3" s="1"/>
  <c r="AD11" i="3" s="1"/>
  <c r="AD12" i="3" s="1"/>
  <c r="AD13" i="3" s="1"/>
  <c r="AD14" i="3" s="1"/>
  <c r="AD15" i="3" s="1"/>
  <c r="AD16" i="3" s="1"/>
  <c r="AD17" i="3" s="1"/>
  <c r="AD18" i="3" s="1"/>
  <c r="AD19" i="3" s="1"/>
  <c r="AD20" i="3" s="1"/>
  <c r="AD21" i="3" s="1"/>
  <c r="AD22" i="3" s="1"/>
  <c r="AD23" i="3" s="1"/>
  <c r="AG5" i="3"/>
  <c r="AG6" i="3" s="1"/>
  <c r="AG7" i="3" s="1"/>
  <c r="AG8" i="3" s="1"/>
  <c r="AG9" i="3" s="1"/>
  <c r="AG10" i="3" s="1"/>
  <c r="AG11" i="3" s="1"/>
  <c r="AG12" i="3" s="1"/>
  <c r="AG13" i="3" s="1"/>
  <c r="AG14" i="3" s="1"/>
  <c r="AG15" i="3" s="1"/>
  <c r="AG16" i="3" s="1"/>
  <c r="AG17" i="3" s="1"/>
  <c r="AG18" i="3" s="1"/>
  <c r="AG19" i="3" s="1"/>
  <c r="AG20" i="3" s="1"/>
  <c r="AG21" i="3" s="1"/>
  <c r="AG22" i="3" s="1"/>
  <c r="AG23" i="3" s="1"/>
  <c r="AJ5" i="3"/>
  <c r="AJ6" i="3" s="1"/>
  <c r="AJ7" i="3" s="1"/>
  <c r="AJ8" i="3" s="1"/>
  <c r="AJ9" i="3" s="1"/>
  <c r="AJ10" i="3" s="1"/>
  <c r="AJ11" i="3" s="1"/>
  <c r="AJ12" i="3" s="1"/>
  <c r="AJ13" i="3" s="1"/>
  <c r="AJ14" i="3" s="1"/>
  <c r="AJ15" i="3" s="1"/>
  <c r="AJ16" i="3" s="1"/>
  <c r="AJ17" i="3" s="1"/>
  <c r="AJ18" i="3" s="1"/>
  <c r="AJ19" i="3" s="1"/>
  <c r="AJ20" i="3" s="1"/>
  <c r="AJ21" i="3" s="1"/>
  <c r="AJ22" i="3" s="1"/>
  <c r="AJ23" i="3" s="1"/>
  <c r="AO5" i="3"/>
  <c r="AO6" i="3" s="1"/>
  <c r="AO7" i="3" s="1"/>
  <c r="AO8" i="3" s="1"/>
  <c r="AO9" i="3" s="1"/>
  <c r="AO10" i="3" s="1"/>
  <c r="AO11" i="3" s="1"/>
  <c r="AO12" i="3" s="1"/>
  <c r="AO13" i="3" s="1"/>
  <c r="AO14" i="3" s="1"/>
  <c r="AO15" i="3" s="1"/>
  <c r="AO16" i="3" s="1"/>
  <c r="AO17" i="3" s="1"/>
  <c r="AO18" i="3" s="1"/>
  <c r="AO19" i="3" s="1"/>
  <c r="AO20" i="3" s="1"/>
  <c r="AO21" i="3" s="1"/>
  <c r="AO22" i="3" s="1"/>
  <c r="AO23" i="3" s="1"/>
  <c r="AS5" i="3"/>
  <c r="AS6" i="3" s="1"/>
  <c r="AW5" i="3"/>
  <c r="AW6" i="3" s="1"/>
  <c r="AW7" i="3" s="1"/>
  <c r="AW8" i="3" s="1"/>
  <c r="AW9" i="3" s="1"/>
  <c r="AW10" i="3" s="1"/>
  <c r="AW11" i="3" s="1"/>
  <c r="AW12" i="3" s="1"/>
  <c r="AW13" i="3" s="1"/>
  <c r="AW14" i="3" s="1"/>
  <c r="AW15" i="3" s="1"/>
  <c r="AW16" i="3" s="1"/>
  <c r="AW17" i="3" s="1"/>
  <c r="AW18" i="3" s="1"/>
  <c r="AW19" i="3" s="1"/>
  <c r="AW20" i="3" s="1"/>
  <c r="AW21" i="3" s="1"/>
  <c r="AW22" i="3" s="1"/>
  <c r="AW23" i="3" s="1"/>
  <c r="BA5" i="3"/>
  <c r="BA6" i="3" s="1"/>
  <c r="BA7" i="3" s="1"/>
  <c r="BA8" i="3" s="1"/>
  <c r="BA9" i="3" s="1"/>
  <c r="BA10" i="3" s="1"/>
  <c r="BA11" i="3" s="1"/>
  <c r="BA12" i="3" s="1"/>
  <c r="BA13" i="3" s="1"/>
  <c r="BA14" i="3" s="1"/>
  <c r="BA15" i="3" s="1"/>
  <c r="BA16" i="3" s="1"/>
  <c r="BA17" i="3" s="1"/>
  <c r="BA18" i="3" s="1"/>
  <c r="BA19" i="3" s="1"/>
  <c r="BA20" i="3" s="1"/>
  <c r="BA21" i="3" s="1"/>
  <c r="BA22" i="3" s="1"/>
  <c r="BA23" i="3" s="1"/>
  <c r="BC5" i="3"/>
  <c r="BC6" i="3" s="1"/>
  <c r="BC7" i="3" s="1"/>
  <c r="BC8" i="3" s="1"/>
  <c r="BC9" i="3" s="1"/>
  <c r="BC10" i="3" s="1"/>
  <c r="BC11" i="3" s="1"/>
  <c r="BC12" i="3" s="1"/>
  <c r="BC13" i="3" s="1"/>
  <c r="BC14" i="3" s="1"/>
  <c r="BC15" i="3" s="1"/>
  <c r="BC16" i="3" s="1"/>
  <c r="BC17" i="3" s="1"/>
  <c r="BC18" i="3" s="1"/>
  <c r="BC19" i="3" s="1"/>
  <c r="BC20" i="3" s="1"/>
  <c r="BC21" i="3" s="1"/>
  <c r="BC22" i="3" s="1"/>
  <c r="BC23" i="3" s="1"/>
  <c r="BE5" i="3"/>
  <c r="BE6" i="3" s="1"/>
  <c r="BE7" i="3" s="1"/>
  <c r="BE8" i="3" s="1"/>
  <c r="BE9" i="3" s="1"/>
  <c r="BE10" i="3" s="1"/>
  <c r="BE11" i="3" s="1"/>
  <c r="BE12" i="3" s="1"/>
  <c r="BE13" i="3" s="1"/>
  <c r="BE14" i="3" s="1"/>
  <c r="BE15" i="3" s="1"/>
  <c r="BE16" i="3" s="1"/>
  <c r="BE17" i="3" s="1"/>
  <c r="BE18" i="3" s="1"/>
  <c r="BE19" i="3" s="1"/>
  <c r="BE20" i="3" s="1"/>
  <c r="BE21" i="3" s="1"/>
  <c r="BE22" i="3" s="1"/>
  <c r="BE23" i="3" s="1"/>
  <c r="BG5" i="3"/>
  <c r="BG6" i="3" s="1"/>
  <c r="BG7" i="3" s="1"/>
  <c r="BG8" i="3" s="1"/>
  <c r="BG9" i="3" s="1"/>
  <c r="BG10" i="3" s="1"/>
  <c r="BG11" i="3" s="1"/>
  <c r="BG12" i="3" s="1"/>
  <c r="BG13" i="3" s="1"/>
  <c r="BG14" i="3" s="1"/>
  <c r="BG15" i="3" s="1"/>
  <c r="BG16" i="3" s="1"/>
  <c r="BG17" i="3" s="1"/>
  <c r="BG18" i="3" s="1"/>
  <c r="BG19" i="3" s="1"/>
  <c r="BG20" i="3" s="1"/>
  <c r="BG21" i="3" s="1"/>
  <c r="BG22" i="3" s="1"/>
  <c r="BG23" i="3" s="1"/>
  <c r="BI5" i="3"/>
  <c r="BI6" i="3" s="1"/>
  <c r="BI7" i="3" s="1"/>
  <c r="BI8" i="3" s="1"/>
  <c r="BI9" i="3" s="1"/>
  <c r="BI10" i="3" s="1"/>
  <c r="BI11" i="3" s="1"/>
  <c r="BI12" i="3" s="1"/>
  <c r="BI13" i="3" s="1"/>
  <c r="BI14" i="3" s="1"/>
  <c r="BI15" i="3" s="1"/>
  <c r="BI16" i="3" s="1"/>
  <c r="BI17" i="3" s="1"/>
  <c r="BI18" i="3" s="1"/>
  <c r="BI19" i="3" s="1"/>
  <c r="BI20" i="3" s="1"/>
  <c r="BI21" i="3" s="1"/>
  <c r="BI22" i="3" s="1"/>
  <c r="BI23" i="3" s="1"/>
  <c r="BK5" i="3"/>
  <c r="BK6" i="3" s="1"/>
  <c r="BK7" i="3" s="1"/>
  <c r="BK8" i="3" s="1"/>
  <c r="BK9" i="3" s="1"/>
  <c r="BK10" i="3" s="1"/>
  <c r="BK11" i="3" s="1"/>
  <c r="BK12" i="3" s="1"/>
  <c r="BK13" i="3" s="1"/>
  <c r="BK14" i="3" s="1"/>
  <c r="BK15" i="3" s="1"/>
  <c r="BK16" i="3" s="1"/>
  <c r="BK17" i="3" s="1"/>
  <c r="BK18" i="3" s="1"/>
  <c r="BK19" i="3" s="1"/>
  <c r="BK20" i="3" s="1"/>
  <c r="BK21" i="3" s="1"/>
  <c r="BK22" i="3" s="1"/>
  <c r="BK23" i="3" s="1"/>
  <c r="BM5" i="3"/>
  <c r="BM6" i="3" s="1"/>
  <c r="BM7" i="3" s="1"/>
  <c r="BM8" i="3" s="1"/>
  <c r="BM9" i="3" s="1"/>
  <c r="BM10" i="3" s="1"/>
  <c r="BM11" i="3" s="1"/>
  <c r="BM12" i="3" s="1"/>
  <c r="BM13" i="3" s="1"/>
  <c r="BM14" i="3" s="1"/>
  <c r="BM15" i="3" s="1"/>
  <c r="BM16" i="3" s="1"/>
  <c r="BM17" i="3" s="1"/>
  <c r="BM18" i="3" s="1"/>
  <c r="BM19" i="3" s="1"/>
  <c r="BM20" i="3" s="1"/>
  <c r="BM21" i="3" s="1"/>
  <c r="BM22" i="3" s="1"/>
  <c r="BM23" i="3" s="1"/>
  <c r="BO5" i="3"/>
  <c r="BO6" i="3" s="1"/>
  <c r="BO7" i="3" s="1"/>
  <c r="BO8" i="3" s="1"/>
  <c r="BO9" i="3" s="1"/>
  <c r="BO10" i="3" s="1"/>
  <c r="BO11" i="3" s="1"/>
  <c r="BO12" i="3" s="1"/>
  <c r="BO13" i="3" s="1"/>
  <c r="BO14" i="3" s="1"/>
  <c r="BO15" i="3" s="1"/>
  <c r="BO16" i="3" s="1"/>
  <c r="BO17" i="3" s="1"/>
  <c r="BO18" i="3" s="1"/>
  <c r="BO19" i="3" s="1"/>
  <c r="BO20" i="3" s="1"/>
  <c r="BO21" i="3" s="1"/>
  <c r="BO22" i="3" s="1"/>
  <c r="BO23" i="3" s="1"/>
  <c r="BQ5" i="3"/>
  <c r="BQ6" i="3" s="1"/>
  <c r="BQ7" i="3" s="1"/>
  <c r="BQ8" i="3" s="1"/>
  <c r="BQ9" i="3" s="1"/>
  <c r="BQ10" i="3" s="1"/>
  <c r="BQ11" i="3" s="1"/>
  <c r="BQ12" i="3" s="1"/>
  <c r="BQ13" i="3" s="1"/>
  <c r="BQ14" i="3" s="1"/>
  <c r="BQ15" i="3" s="1"/>
  <c r="BQ16" i="3" s="1"/>
  <c r="BQ17" i="3" s="1"/>
  <c r="BQ18" i="3" s="1"/>
  <c r="BQ19" i="3" s="1"/>
  <c r="BQ20" i="3" s="1"/>
  <c r="BQ21" i="3" s="1"/>
  <c r="BQ22" i="3" s="1"/>
  <c r="BQ23" i="3" s="1"/>
  <c r="BS5" i="3"/>
  <c r="BS6" i="3" s="1"/>
  <c r="BS7" i="3" s="1"/>
  <c r="BS8" i="3" s="1"/>
  <c r="BS9" i="3" s="1"/>
  <c r="BS10" i="3" s="1"/>
  <c r="BS11" i="3" s="1"/>
  <c r="BS12" i="3" s="1"/>
  <c r="BS13" i="3" s="1"/>
  <c r="BS14" i="3" s="1"/>
  <c r="BS15" i="3" s="1"/>
  <c r="BS16" i="3" s="1"/>
  <c r="BS17" i="3" s="1"/>
  <c r="BS18" i="3" s="1"/>
  <c r="BS19" i="3" s="1"/>
  <c r="BS20" i="3" s="1"/>
  <c r="BS21" i="3" s="1"/>
  <c r="BS22" i="3" s="1"/>
  <c r="BS23" i="3" s="1"/>
  <c r="BU5" i="3"/>
  <c r="BU6" i="3" s="1"/>
  <c r="BU7" i="3" s="1"/>
  <c r="BU8" i="3" s="1"/>
  <c r="BU9" i="3" s="1"/>
  <c r="BU10" i="3" s="1"/>
  <c r="BU11" i="3" s="1"/>
  <c r="BU12" i="3" s="1"/>
  <c r="BU13" i="3" s="1"/>
  <c r="BU14" i="3" s="1"/>
  <c r="BU15" i="3" s="1"/>
  <c r="BU16" i="3" s="1"/>
  <c r="BU17" i="3" s="1"/>
  <c r="BU18" i="3" s="1"/>
  <c r="BU19" i="3" s="1"/>
  <c r="BU20" i="3" s="1"/>
  <c r="BU21" i="3" s="1"/>
  <c r="BU22" i="3" s="1"/>
  <c r="BU23" i="3" s="1"/>
  <c r="BW5" i="3"/>
  <c r="BW6" i="3" s="1"/>
  <c r="BW7" i="3" s="1"/>
  <c r="BW8" i="3" s="1"/>
  <c r="BW9" i="3" s="1"/>
  <c r="BW10" i="3" s="1"/>
  <c r="BW11" i="3" s="1"/>
  <c r="BW12" i="3" s="1"/>
  <c r="BW13" i="3" s="1"/>
  <c r="BW14" i="3" s="1"/>
  <c r="BW15" i="3" s="1"/>
  <c r="BW16" i="3" s="1"/>
  <c r="BW17" i="3" s="1"/>
  <c r="BW18" i="3" s="1"/>
  <c r="BW19" i="3" s="1"/>
  <c r="BW20" i="3" s="1"/>
  <c r="BW21" i="3" s="1"/>
  <c r="BW22" i="3" s="1"/>
  <c r="BW23" i="3" s="1"/>
  <c r="BY5" i="3"/>
  <c r="BY6" i="3" s="1"/>
  <c r="BY7" i="3" s="1"/>
  <c r="BY8" i="3" s="1"/>
  <c r="BY9" i="3" s="1"/>
  <c r="BY10" i="3" s="1"/>
  <c r="BY11" i="3" s="1"/>
  <c r="BY12" i="3" s="1"/>
  <c r="BY13" i="3" s="1"/>
  <c r="BY14" i="3" s="1"/>
  <c r="BY15" i="3" s="1"/>
  <c r="BY16" i="3" s="1"/>
  <c r="BY17" i="3" s="1"/>
  <c r="BY18" i="3" s="1"/>
  <c r="BY19" i="3" s="1"/>
  <c r="BY20" i="3" s="1"/>
  <c r="BY21" i="3" s="1"/>
  <c r="BY22" i="3" s="1"/>
  <c r="BY23" i="3" s="1"/>
  <c r="CA5" i="3"/>
  <c r="CA6" i="3" s="1"/>
  <c r="CA7" i="3" s="1"/>
  <c r="CA8" i="3" s="1"/>
  <c r="CA9" i="3" s="1"/>
  <c r="CA10" i="3" s="1"/>
  <c r="CA11" i="3" s="1"/>
  <c r="CA12" i="3" s="1"/>
  <c r="CA13" i="3" s="1"/>
  <c r="CA14" i="3" s="1"/>
  <c r="CA15" i="3" s="1"/>
  <c r="CA16" i="3" s="1"/>
  <c r="CA17" i="3" s="1"/>
  <c r="CA18" i="3" s="1"/>
  <c r="CA19" i="3" s="1"/>
  <c r="CA20" i="3" s="1"/>
  <c r="CA21" i="3" s="1"/>
  <c r="CA22" i="3" s="1"/>
  <c r="CA23" i="3" s="1"/>
  <c r="CC5" i="3"/>
  <c r="CC6" i="3" s="1"/>
  <c r="CC7" i="3" s="1"/>
  <c r="CC8" i="3" s="1"/>
  <c r="CC9" i="3" s="1"/>
  <c r="CC10" i="3" s="1"/>
  <c r="CC11" i="3" s="1"/>
  <c r="CC12" i="3" s="1"/>
  <c r="CC13" i="3" s="1"/>
  <c r="CC14" i="3" s="1"/>
  <c r="CC15" i="3" s="1"/>
  <c r="CC16" i="3" s="1"/>
  <c r="CC17" i="3" s="1"/>
  <c r="CC18" i="3" s="1"/>
  <c r="CC19" i="3" s="1"/>
  <c r="CC20" i="3" s="1"/>
  <c r="CC21" i="3" s="1"/>
  <c r="CC22" i="3" s="1"/>
  <c r="CC23" i="3" s="1"/>
  <c r="CE5" i="3"/>
  <c r="CE6" i="3" s="1"/>
  <c r="CE7" i="3" s="1"/>
  <c r="CE8" i="3" s="1"/>
  <c r="CE9" i="3" s="1"/>
  <c r="CE10" i="3" s="1"/>
  <c r="CE11" i="3" s="1"/>
  <c r="CE12" i="3" s="1"/>
  <c r="CE13" i="3" s="1"/>
  <c r="CE14" i="3" s="1"/>
  <c r="CE15" i="3" s="1"/>
  <c r="CE16" i="3" s="1"/>
  <c r="CE17" i="3" s="1"/>
  <c r="CE18" i="3" s="1"/>
  <c r="CE19" i="3" s="1"/>
  <c r="CE20" i="3" s="1"/>
  <c r="CE21" i="3" s="1"/>
  <c r="CE22" i="3" s="1"/>
  <c r="CE23" i="3" s="1"/>
  <c r="CG5" i="3"/>
  <c r="CG6" i="3" s="1"/>
  <c r="CG7" i="3" s="1"/>
  <c r="CG8" i="3" s="1"/>
  <c r="CG9" i="3" s="1"/>
  <c r="CG10" i="3" s="1"/>
  <c r="CG11" i="3" s="1"/>
  <c r="CG12" i="3" s="1"/>
  <c r="CG13" i="3" s="1"/>
  <c r="CG14" i="3" s="1"/>
  <c r="CG15" i="3" s="1"/>
  <c r="CG16" i="3" s="1"/>
  <c r="CG17" i="3" s="1"/>
  <c r="CG18" i="3" s="1"/>
  <c r="CG19" i="3" s="1"/>
  <c r="CG20" i="3" s="1"/>
  <c r="CG21" i="3" s="1"/>
  <c r="CG22" i="3" s="1"/>
  <c r="CG23" i="3" s="1"/>
  <c r="CI5" i="3"/>
  <c r="CI6" i="3" s="1"/>
  <c r="CI7" i="3" s="1"/>
  <c r="CI8" i="3" s="1"/>
  <c r="CI9" i="3" s="1"/>
  <c r="CI10" i="3" s="1"/>
  <c r="CI11" i="3" s="1"/>
  <c r="CI12" i="3" s="1"/>
  <c r="CI13" i="3" s="1"/>
  <c r="CI14" i="3" s="1"/>
  <c r="CI15" i="3" s="1"/>
  <c r="CI16" i="3" s="1"/>
  <c r="CI17" i="3" s="1"/>
  <c r="CI18" i="3" s="1"/>
  <c r="CI19" i="3" s="1"/>
  <c r="CI20" i="3" s="1"/>
  <c r="CI21" i="3" s="1"/>
  <c r="CI22" i="3" s="1"/>
  <c r="M7" i="3"/>
  <c r="M8" i="3"/>
  <c r="M9" i="3"/>
  <c r="M10" i="3"/>
  <c r="M11" i="3"/>
  <c r="M12" i="3"/>
  <c r="M13" i="3"/>
  <c r="K14" i="3"/>
  <c r="M14" i="3" s="1"/>
  <c r="M16" i="3"/>
  <c r="M17" i="3"/>
  <c r="M18" i="3"/>
  <c r="M19" i="3"/>
  <c r="M20" i="3"/>
  <c r="M21" i="3"/>
  <c r="M5" i="3"/>
  <c r="M4" i="3"/>
  <c r="A4" i="3" s="1"/>
  <c r="B25" i="11"/>
  <c r="F3" i="11"/>
  <c r="B3" i="11"/>
  <c r="B10" i="11"/>
  <c r="O1" i="1"/>
  <c r="P1" i="1"/>
  <c r="Q1" i="1"/>
  <c r="R1" i="1"/>
  <c r="S1" i="1"/>
  <c r="T1" i="1"/>
  <c r="U1" i="1"/>
  <c r="V1" i="1"/>
  <c r="W1" i="1"/>
  <c r="X1" i="1"/>
  <c r="Y1" i="1"/>
  <c r="Z1" i="1"/>
  <c r="AA1" i="1"/>
  <c r="AB1" i="1"/>
  <c r="AC1" i="1"/>
  <c r="AD1" i="1"/>
  <c r="AE1" i="1"/>
  <c r="AF1" i="1"/>
  <c r="AG1" i="1"/>
  <c r="AH1" i="1"/>
  <c r="AI1" i="1"/>
  <c r="AJ1" i="1"/>
  <c r="AK1" i="1"/>
  <c r="AL1" i="1"/>
  <c r="AM1" i="1"/>
  <c r="AN1" i="1"/>
  <c r="AO1" i="1"/>
  <c r="AP1" i="1"/>
  <c r="AQ1" i="1"/>
  <c r="AR1" i="1"/>
  <c r="AS1" i="1"/>
  <c r="AT1" i="1"/>
  <c r="AU1" i="1"/>
  <c r="AV1" i="1"/>
  <c r="AW1" i="1"/>
  <c r="AX1" i="1"/>
  <c r="AY1" i="1"/>
  <c r="AZ1" i="1"/>
  <c r="BA1" i="1"/>
  <c r="BB1" i="1"/>
  <c r="BC1" i="1"/>
  <c r="BD1" i="1"/>
  <c r="BE1" i="1"/>
  <c r="BF1" i="1"/>
  <c r="BG1" i="1"/>
  <c r="BH1" i="1"/>
  <c r="BI1" i="1"/>
  <c r="BJ1" i="1"/>
  <c r="BK1" i="1"/>
  <c r="BL1" i="1"/>
  <c r="BM1" i="1"/>
  <c r="BN1" i="1"/>
  <c r="BO1" i="1"/>
  <c r="BP1" i="1"/>
  <c r="BQ1" i="1"/>
  <c r="BR1" i="1"/>
  <c r="O2" i="1"/>
  <c r="P2" i="1"/>
  <c r="Q2" i="1"/>
  <c r="R2" i="1"/>
  <c r="S2" i="1"/>
  <c r="T2" i="1"/>
  <c r="U2" i="1"/>
  <c r="V2" i="1"/>
  <c r="W2" i="1"/>
  <c r="X2" i="1"/>
  <c r="Y2" i="1"/>
  <c r="Z2" i="1"/>
  <c r="AA2" i="1"/>
  <c r="AB2" i="1"/>
  <c r="AC2" i="1"/>
  <c r="AD2" i="1"/>
  <c r="AE2" i="1"/>
  <c r="AF2" i="1"/>
  <c r="AG2" i="1"/>
  <c r="AH2" i="1"/>
  <c r="AI2" i="1"/>
  <c r="AJ2" i="1"/>
  <c r="AK2" i="1"/>
  <c r="AL2" i="1"/>
  <c r="AM2" i="1"/>
  <c r="AN2" i="1"/>
  <c r="AO2" i="1"/>
  <c r="AP2" i="1"/>
  <c r="AQ2" i="1"/>
  <c r="AR2" i="1"/>
  <c r="AS2" i="1"/>
  <c r="AT2" i="1"/>
  <c r="AU2" i="1"/>
  <c r="AV2" i="1"/>
  <c r="AW2" i="1"/>
  <c r="AX2" i="1"/>
  <c r="AY2" i="1"/>
  <c r="AZ2" i="1"/>
  <c r="BA2" i="1"/>
  <c r="BB2" i="1"/>
  <c r="BC2" i="1"/>
  <c r="BD2" i="1"/>
  <c r="BE2" i="1"/>
  <c r="BF2" i="1"/>
  <c r="BG2" i="1"/>
  <c r="BH2" i="1"/>
  <c r="BI2" i="1"/>
  <c r="BJ2" i="1"/>
  <c r="BK2" i="1"/>
  <c r="BL2" i="1"/>
  <c r="BM2" i="1"/>
  <c r="BN2" i="1"/>
  <c r="BO2" i="1"/>
  <c r="BP2" i="1"/>
  <c r="BQ2" i="1"/>
  <c r="BR2" i="1"/>
  <c r="BS1" i="1"/>
  <c r="BT1" i="1"/>
  <c r="BU1" i="1"/>
  <c r="BV1" i="1"/>
  <c r="BW1" i="1"/>
  <c r="BX1" i="1"/>
  <c r="BY1" i="1"/>
  <c r="BZ1" i="1"/>
  <c r="CA1" i="1"/>
  <c r="BS2" i="1"/>
  <c r="BT2" i="1"/>
  <c r="BU2" i="1"/>
  <c r="BV2" i="1"/>
  <c r="BW2" i="1"/>
  <c r="BX2" i="1"/>
  <c r="BY2" i="1"/>
  <c r="BZ2" i="1"/>
  <c r="CA2" i="1"/>
  <c r="F23" i="19"/>
  <c r="C24" i="19"/>
  <c r="C25" i="19"/>
  <c r="C26" i="19"/>
  <c r="C27" i="19"/>
  <c r="C28" i="19"/>
  <c r="C29" i="19"/>
  <c r="C30" i="19"/>
  <c r="C31" i="19"/>
  <c r="C32" i="19"/>
  <c r="C33" i="19"/>
  <c r="C34" i="19"/>
  <c r="C35" i="19"/>
  <c r="C36" i="19"/>
  <c r="C37" i="19"/>
  <c r="C38" i="19"/>
  <c r="C39" i="19"/>
  <c r="C40" i="19"/>
  <c r="C41" i="19"/>
  <c r="C42" i="19"/>
  <c r="C23" i="19"/>
  <c r="BO10" i="1"/>
  <c r="BO11" i="1"/>
  <c r="BO12" i="1"/>
  <c r="BO13" i="1"/>
  <c r="BO9" i="1"/>
  <c r="CA10" i="1"/>
  <c r="CA11" i="1"/>
  <c r="CA12" i="1"/>
  <c r="CA13" i="1"/>
  <c r="CA9" i="1"/>
  <c r="N1" i="1"/>
  <c r="N2" i="1"/>
  <c r="C3" i="11"/>
  <c r="G3" i="11"/>
  <c r="K3" i="11"/>
  <c r="O3" i="11"/>
  <c r="B4" i="11"/>
  <c r="C4" i="11"/>
  <c r="F4" i="11"/>
  <c r="G4" i="11"/>
  <c r="J4" i="11"/>
  <c r="K4" i="11"/>
  <c r="N4" i="11"/>
  <c r="O4" i="11"/>
  <c r="B5" i="11"/>
  <c r="C5" i="11"/>
  <c r="F5" i="11"/>
  <c r="G5" i="11"/>
  <c r="J5" i="11"/>
  <c r="K5" i="11"/>
  <c r="N5" i="11"/>
  <c r="O5" i="11"/>
  <c r="B6" i="11"/>
  <c r="C6" i="11"/>
  <c r="F6" i="11"/>
  <c r="G6" i="11"/>
  <c r="J6" i="11"/>
  <c r="K6" i="11"/>
  <c r="N6" i="11"/>
  <c r="O6" i="11"/>
  <c r="B7" i="11"/>
  <c r="C7" i="11"/>
  <c r="F7" i="11"/>
  <c r="G7" i="11"/>
  <c r="J7" i="11"/>
  <c r="K7" i="11"/>
  <c r="N7" i="11"/>
  <c r="O7" i="11"/>
  <c r="B8" i="11"/>
  <c r="C8" i="11"/>
  <c r="F8" i="11"/>
  <c r="G8" i="11"/>
  <c r="J8" i="11"/>
  <c r="K8" i="11"/>
  <c r="N8" i="11"/>
  <c r="O8" i="11"/>
  <c r="B9" i="11"/>
  <c r="C9" i="11"/>
  <c r="F9" i="11"/>
  <c r="G9" i="11"/>
  <c r="J9" i="11"/>
  <c r="K9" i="11"/>
  <c r="N9" i="11"/>
  <c r="O9" i="11"/>
  <c r="C10" i="11"/>
  <c r="F10" i="11"/>
  <c r="G10" i="11"/>
  <c r="J10" i="11"/>
  <c r="K10" i="11"/>
  <c r="N10" i="11"/>
  <c r="O10" i="11"/>
  <c r="B11" i="11"/>
  <c r="C11" i="11"/>
  <c r="F11" i="11"/>
  <c r="G11" i="11"/>
  <c r="J11" i="11"/>
  <c r="K11" i="11"/>
  <c r="N11" i="11"/>
  <c r="O11" i="11"/>
  <c r="B12" i="11"/>
  <c r="C12" i="11"/>
  <c r="F12" i="11"/>
  <c r="G12" i="11"/>
  <c r="J12" i="11"/>
  <c r="K12" i="11"/>
  <c r="N12" i="11"/>
  <c r="O12" i="11"/>
  <c r="B13" i="11"/>
  <c r="C13" i="11"/>
  <c r="F13" i="11"/>
  <c r="G13" i="11"/>
  <c r="J13" i="11"/>
  <c r="K13" i="11"/>
  <c r="N13" i="11"/>
  <c r="O13" i="11"/>
  <c r="B14" i="11"/>
  <c r="C14" i="11"/>
  <c r="F14" i="11"/>
  <c r="G14" i="11"/>
  <c r="J14" i="11"/>
  <c r="K14" i="11"/>
  <c r="N14" i="11"/>
  <c r="O14" i="11"/>
  <c r="B15" i="11"/>
  <c r="C15" i="11"/>
  <c r="F15" i="11"/>
  <c r="G15" i="11"/>
  <c r="J15" i="11"/>
  <c r="K15" i="11"/>
  <c r="N15" i="11"/>
  <c r="O15" i="11"/>
  <c r="B16" i="11"/>
  <c r="C16" i="11"/>
  <c r="F16" i="11"/>
  <c r="G16" i="11"/>
  <c r="J16" i="11"/>
  <c r="K16" i="11"/>
  <c r="N16" i="11"/>
  <c r="O16" i="11"/>
  <c r="B17" i="11"/>
  <c r="C17" i="11"/>
  <c r="F17" i="11"/>
  <c r="G17" i="11"/>
  <c r="J17" i="11"/>
  <c r="K17" i="11"/>
  <c r="N17" i="11"/>
  <c r="O17" i="11"/>
  <c r="B18" i="11"/>
  <c r="C18" i="11"/>
  <c r="F18" i="11"/>
  <c r="G18" i="11"/>
  <c r="J18" i="11"/>
  <c r="K18" i="11"/>
  <c r="N18" i="11"/>
  <c r="O18" i="11"/>
  <c r="B19" i="11"/>
  <c r="C19" i="11"/>
  <c r="F19" i="11"/>
  <c r="G19" i="11"/>
  <c r="J19" i="11"/>
  <c r="K19" i="11"/>
  <c r="N19" i="11"/>
  <c r="O19" i="11"/>
  <c r="B20" i="11"/>
  <c r="C20" i="11"/>
  <c r="F20" i="11"/>
  <c r="G20" i="11"/>
  <c r="J20" i="11"/>
  <c r="K20" i="11"/>
  <c r="N20" i="11"/>
  <c r="O20" i="11"/>
  <c r="B21" i="11"/>
  <c r="C21" i="11"/>
  <c r="F21" i="11"/>
  <c r="G21" i="11"/>
  <c r="J21" i="11"/>
  <c r="K21" i="11"/>
  <c r="N21" i="11"/>
  <c r="O21" i="11"/>
  <c r="B22" i="11"/>
  <c r="C22" i="11"/>
  <c r="F22" i="11"/>
  <c r="G22" i="11"/>
  <c r="J22" i="11"/>
  <c r="K22" i="11"/>
  <c r="N22" i="11"/>
  <c r="O22" i="11"/>
  <c r="B23" i="11"/>
  <c r="C23" i="11"/>
  <c r="F23" i="11"/>
  <c r="G23" i="11"/>
  <c r="J23" i="11"/>
  <c r="K23" i="11"/>
  <c r="N23" i="11"/>
  <c r="O23" i="11"/>
  <c r="B24" i="11"/>
  <c r="C24" i="11"/>
  <c r="F24" i="11"/>
  <c r="G24" i="11"/>
  <c r="J24" i="11"/>
  <c r="K24" i="11"/>
  <c r="N24" i="11"/>
  <c r="O24" i="11"/>
  <c r="C25" i="11"/>
  <c r="F25" i="11"/>
  <c r="G25" i="11"/>
  <c r="J25" i="11"/>
  <c r="K25" i="11"/>
  <c r="N25" i="11"/>
  <c r="O25" i="11"/>
  <c r="E49" i="11"/>
  <c r="E50" i="11"/>
  <c r="E51" i="11"/>
  <c r="E52" i="11"/>
  <c r="E53" i="11"/>
  <c r="E54" i="11"/>
  <c r="E55" i="11"/>
  <c r="E56" i="11"/>
  <c r="E57" i="11"/>
  <c r="E58" i="11"/>
  <c r="E59" i="11"/>
  <c r="E60" i="11"/>
  <c r="E61" i="11"/>
  <c r="E62" i="11"/>
  <c r="E63" i="11"/>
  <c r="E64" i="11"/>
  <c r="E65" i="11"/>
  <c r="E66" i="11"/>
  <c r="E67" i="11"/>
  <c r="E68" i="11"/>
  <c r="E69" i="11"/>
  <c r="E70" i="11"/>
  <c r="E71" i="11"/>
  <c r="E72" i="11"/>
  <c r="E73" i="11"/>
  <c r="E74" i="11"/>
  <c r="E75" i="11"/>
  <c r="E76" i="11"/>
  <c r="E77" i="11"/>
  <c r="E78" i="11"/>
  <c r="E79" i="11"/>
  <c r="E80" i="11"/>
  <c r="E81" i="11"/>
  <c r="E82" i="11"/>
  <c r="E83" i="11"/>
  <c r="E84" i="11"/>
  <c r="E85" i="11"/>
  <c r="E86" i="11"/>
  <c r="E87" i="11"/>
  <c r="E88" i="11"/>
  <c r="E89" i="11"/>
  <c r="E90" i="11"/>
  <c r="F90" i="11"/>
  <c r="G90" i="11"/>
  <c r="E91" i="11"/>
  <c r="F91" i="11"/>
  <c r="G91" i="11"/>
  <c r="E92" i="11"/>
  <c r="F92" i="11"/>
  <c r="G92" i="11"/>
  <c r="E93" i="11"/>
  <c r="F93" i="11"/>
  <c r="G93" i="11"/>
  <c r="E94" i="11"/>
  <c r="F94" i="11"/>
  <c r="G94" i="11"/>
  <c r="E95" i="11"/>
  <c r="F95" i="11"/>
  <c r="G95" i="11"/>
  <c r="E96" i="11"/>
  <c r="F96" i="11"/>
  <c r="G96" i="11"/>
  <c r="E97" i="11"/>
  <c r="F97" i="11"/>
  <c r="G97" i="11"/>
  <c r="E98" i="11"/>
  <c r="F98" i="11"/>
  <c r="G98" i="11"/>
  <c r="E99" i="11"/>
  <c r="F99" i="11"/>
  <c r="G99" i="11"/>
  <c r="E100" i="11"/>
  <c r="F100" i="11"/>
  <c r="G100" i="11"/>
  <c r="E101" i="11"/>
  <c r="F101" i="11"/>
  <c r="G101" i="11"/>
  <c r="E102" i="11"/>
  <c r="F102" i="11"/>
  <c r="G102" i="11"/>
  <c r="E103" i="11"/>
  <c r="F103" i="11"/>
  <c r="G103" i="11"/>
  <c r="E104" i="11"/>
  <c r="F104" i="11"/>
  <c r="G104" i="11"/>
  <c r="E105" i="11"/>
  <c r="F105" i="11"/>
  <c r="G105" i="11"/>
  <c r="E106" i="11"/>
  <c r="F106" i="11"/>
  <c r="G106" i="11"/>
  <c r="E107" i="11"/>
  <c r="F107" i="11"/>
  <c r="G107" i="11"/>
  <c r="E108" i="11"/>
  <c r="F108" i="11"/>
  <c r="G108" i="11"/>
  <c r="E109" i="11"/>
  <c r="F109" i="11"/>
  <c r="G109" i="11"/>
  <c r="E110" i="11"/>
  <c r="F110" i="11"/>
  <c r="G110" i="11"/>
  <c r="E111" i="11"/>
  <c r="F111" i="11"/>
  <c r="G111" i="11"/>
  <c r="E112" i="11"/>
  <c r="F112" i="11"/>
  <c r="G112" i="11"/>
  <c r="E113" i="11"/>
  <c r="F113" i="11"/>
  <c r="G113" i="11"/>
  <c r="E114" i="11"/>
  <c r="F114" i="11"/>
  <c r="G114" i="11"/>
  <c r="E115" i="11"/>
  <c r="F115" i="11"/>
  <c r="G115" i="11"/>
  <c r="E116" i="11"/>
  <c r="F116" i="11"/>
  <c r="G116" i="11"/>
  <c r="E117" i="11"/>
  <c r="F117" i="11"/>
  <c r="G117" i="11"/>
  <c r="E118" i="11"/>
  <c r="F118" i="11"/>
  <c r="G118" i="11"/>
  <c r="E119" i="11"/>
  <c r="F119" i="11"/>
  <c r="G119" i="11"/>
  <c r="E120" i="11"/>
  <c r="F120" i="11"/>
  <c r="G120" i="11"/>
  <c r="E121" i="11"/>
  <c r="F121" i="11"/>
  <c r="G121" i="11"/>
  <c r="E122" i="11"/>
  <c r="F122" i="11"/>
  <c r="G122" i="11"/>
  <c r="E123" i="11"/>
  <c r="F123" i="11"/>
  <c r="G123" i="11"/>
  <c r="E124" i="11"/>
  <c r="F124" i="11"/>
  <c r="G124" i="11"/>
  <c r="E125" i="11"/>
  <c r="F125" i="11"/>
  <c r="G125" i="11"/>
  <c r="E126" i="11"/>
  <c r="F126" i="11"/>
  <c r="G126" i="11"/>
  <c r="E127" i="11"/>
  <c r="F127" i="11"/>
  <c r="G127" i="11"/>
  <c r="E128" i="11"/>
  <c r="F128" i="11"/>
  <c r="G128" i="11"/>
  <c r="E129" i="11"/>
  <c r="F129" i="11"/>
  <c r="G129" i="11"/>
  <c r="E130" i="11"/>
  <c r="F130" i="11"/>
  <c r="G130" i="11"/>
  <c r="E131" i="11"/>
  <c r="F131" i="11"/>
  <c r="G131" i="11"/>
  <c r="E132" i="11"/>
  <c r="F132" i="11"/>
  <c r="G132" i="11"/>
  <c r="E133" i="11"/>
  <c r="F133" i="11"/>
  <c r="G133" i="11"/>
  <c r="E134" i="11"/>
  <c r="F134" i="11"/>
  <c r="G134" i="11"/>
  <c r="E135" i="11"/>
  <c r="F135" i="11"/>
  <c r="G135" i="11"/>
  <c r="E136" i="11"/>
  <c r="F136" i="11"/>
  <c r="G136" i="11"/>
  <c r="E137" i="11"/>
  <c r="F137" i="11"/>
  <c r="G137" i="11"/>
  <c r="E138" i="11"/>
  <c r="F138" i="11"/>
  <c r="G138" i="11"/>
  <c r="E139" i="11"/>
  <c r="F139" i="11"/>
  <c r="G139" i="11"/>
  <c r="E140" i="11"/>
  <c r="F140" i="11"/>
  <c r="G140" i="11"/>
  <c r="E141" i="11"/>
  <c r="F141" i="11"/>
  <c r="G141" i="11"/>
  <c r="E142" i="11"/>
  <c r="F142" i="11"/>
  <c r="G142" i="11"/>
  <c r="E143" i="11"/>
  <c r="F143" i="11"/>
  <c r="G143" i="11"/>
  <c r="E144" i="11"/>
  <c r="F144" i="11"/>
  <c r="G144" i="11"/>
  <c r="E145" i="11"/>
  <c r="F145" i="11"/>
  <c r="G145" i="11"/>
  <c r="E146" i="11"/>
  <c r="F146" i="11"/>
  <c r="G146" i="11"/>
  <c r="E147" i="11"/>
  <c r="F147" i="11"/>
  <c r="G147" i="11"/>
  <c r="E148" i="11"/>
  <c r="F148" i="11"/>
  <c r="G148" i="11"/>
  <c r="E149" i="11"/>
  <c r="F149" i="11"/>
  <c r="G149" i="11"/>
  <c r="E150" i="11"/>
  <c r="F150" i="11"/>
  <c r="G150" i="11"/>
  <c r="E151" i="11"/>
  <c r="F151" i="11"/>
  <c r="G151" i="11"/>
  <c r="E152" i="11"/>
  <c r="F152" i="11"/>
  <c r="G152" i="11"/>
  <c r="E153" i="11"/>
  <c r="F153" i="11"/>
  <c r="G153" i="11"/>
  <c r="E154" i="11"/>
  <c r="F154" i="11"/>
  <c r="G154" i="11"/>
  <c r="E155" i="11"/>
  <c r="F155" i="11"/>
  <c r="G155" i="11"/>
  <c r="E156" i="11"/>
  <c r="F156" i="11"/>
  <c r="G156" i="11"/>
  <c r="E157" i="11"/>
  <c r="F157" i="11"/>
  <c r="G157" i="11"/>
  <c r="E158" i="11"/>
  <c r="F158" i="11"/>
  <c r="G158" i="11"/>
  <c r="E159" i="11"/>
  <c r="F159" i="11"/>
  <c r="G159" i="11"/>
  <c r="E160" i="11"/>
  <c r="F160" i="11"/>
  <c r="G160" i="11"/>
  <c r="E161" i="11"/>
  <c r="F161" i="11"/>
  <c r="G161" i="11"/>
  <c r="E162" i="11"/>
  <c r="F162" i="11"/>
  <c r="G162" i="11"/>
  <c r="E163" i="11"/>
  <c r="F163" i="11"/>
  <c r="G163" i="11"/>
  <c r="E164" i="11"/>
  <c r="F164" i="11"/>
  <c r="G164" i="11"/>
  <c r="E165" i="11"/>
  <c r="F165" i="11"/>
  <c r="G165" i="11"/>
  <c r="E166" i="11"/>
  <c r="F166" i="11"/>
  <c r="G166" i="11"/>
  <c r="E167" i="11"/>
  <c r="E168" i="11"/>
  <c r="E169" i="11"/>
  <c r="E170" i="11"/>
  <c r="E171" i="11"/>
  <c r="E172" i="11"/>
  <c r="E173" i="11"/>
  <c r="E174" i="11"/>
  <c r="E175" i="11"/>
  <c r="E176" i="11"/>
  <c r="E177" i="11"/>
  <c r="E178" i="11"/>
  <c r="E179" i="11"/>
  <c r="E180" i="11"/>
  <c r="E181" i="11"/>
  <c r="E182" i="11"/>
  <c r="E183" i="11"/>
  <c r="E184" i="11"/>
  <c r="E185" i="11"/>
  <c r="E186" i="11"/>
  <c r="E187" i="11"/>
  <c r="E188" i="11"/>
  <c r="E189" i="11"/>
  <c r="E190" i="11"/>
  <c r="E191" i="11"/>
  <c r="E192" i="11"/>
  <c r="E193" i="11"/>
  <c r="E194" i="11"/>
  <c r="E195" i="11"/>
  <c r="E196" i="11"/>
  <c r="E197" i="11"/>
  <c r="E198" i="11"/>
  <c r="E199" i="11"/>
  <c r="E200" i="11"/>
  <c r="E201" i="11"/>
  <c r="E202" i="11"/>
  <c r="E203" i="11"/>
  <c r="E204" i="11"/>
  <c r="E205" i="11"/>
  <c r="E206" i="11"/>
  <c r="E207" i="11"/>
  <c r="E208" i="11"/>
  <c r="E209" i="11"/>
  <c r="E210" i="11"/>
  <c r="E211" i="11"/>
  <c r="E212" i="11"/>
  <c r="E213" i="11"/>
  <c r="E214" i="11"/>
  <c r="E215" i="11"/>
  <c r="E216" i="11"/>
  <c r="E217" i="11"/>
  <c r="E218" i="11"/>
  <c r="E219" i="11"/>
  <c r="E220" i="11"/>
  <c r="E221" i="11"/>
  <c r="E222" i="11"/>
  <c r="E223" i="11"/>
  <c r="E224" i="11"/>
  <c r="E225" i="11"/>
  <c r="E226" i="11"/>
  <c r="E227" i="11"/>
  <c r="E228" i="11"/>
  <c r="E229" i="11"/>
  <c r="E230" i="11"/>
  <c r="E231" i="11"/>
  <c r="E232" i="11"/>
  <c r="E233" i="11"/>
  <c r="E234" i="11"/>
  <c r="E235" i="11"/>
  <c r="E236" i="11"/>
  <c r="E237" i="11"/>
  <c r="E238" i="11"/>
  <c r="E239" i="11"/>
  <c r="E240" i="11"/>
  <c r="E241" i="11"/>
  <c r="E242" i="11"/>
  <c r="O14" i="1"/>
  <c r="J3" i="11"/>
  <c r="N3" i="11"/>
  <c r="F24" i="19" l="1"/>
  <c r="B5" i="1" a="1"/>
  <c r="B5" i="1" s="1"/>
  <c r="T10" i="1" s="1"/>
  <c r="A5" i="3"/>
  <c r="A30" i="3" s="1"/>
  <c r="A6" i="3"/>
  <c r="F27" i="19"/>
  <c r="F25" i="19"/>
  <c r="F26" i="19"/>
  <c r="AS7" i="3"/>
  <c r="A7" i="3" s="1"/>
  <c r="T11" i="1" l="1"/>
  <c r="T12" i="1"/>
  <c r="T13" i="1"/>
  <c r="T9" i="1"/>
  <c r="F28" i="19"/>
  <c r="N3" i="1" a="1"/>
  <c r="AS8" i="3"/>
  <c r="A8" i="3" s="1"/>
  <c r="F29" i="19" l="1"/>
  <c r="BU10" i="1" a="1"/>
  <c r="BU10" i="1" s="1"/>
  <c r="I11" i="1"/>
  <c r="CC11" i="1" s="1"/>
  <c r="N3" i="1"/>
  <c r="BD10" i="1" a="1"/>
  <c r="BD10" i="1" s="1"/>
  <c r="BS11" i="1" a="1"/>
  <c r="BS11" i="1" s="1"/>
  <c r="BQ12" i="1" a="1"/>
  <c r="BQ12" i="1" s="1"/>
  <c r="AN12" i="1" a="1"/>
  <c r="AN12" i="1" s="1"/>
  <c r="CI10" i="1" a="1"/>
  <c r="CI10" i="1" s="1"/>
  <c r="CE12" i="1" a="1"/>
  <c r="CE12" i="1" s="1"/>
  <c r="BW9" i="1" a="1"/>
  <c r="BW9" i="1" s="1"/>
  <c r="AT12" i="1" a="1"/>
  <c r="AT12" i="1" s="1"/>
  <c r="AV11" i="1" a="1"/>
  <c r="AV11" i="1" s="1"/>
  <c r="BH13" i="1" a="1"/>
  <c r="BH13" i="1" s="1"/>
  <c r="BJ12" i="1" a="1"/>
  <c r="BJ12" i="1" s="1"/>
  <c r="CY9" i="1" a="1"/>
  <c r="CY9" i="1" s="1"/>
  <c r="AV13" i="1" a="1"/>
  <c r="AV13" i="1" s="1"/>
  <c r="BL13" i="1" a="1"/>
  <c r="BL13" i="1" s="1"/>
  <c r="CY13" i="1" a="1"/>
  <c r="CY13" i="1" s="1"/>
  <c r="I10" i="1"/>
  <c r="CC10" i="1" s="1"/>
  <c r="AN13" i="1" a="1"/>
  <c r="AN13" i="1" s="1"/>
  <c r="BS10" i="1" a="1"/>
  <c r="BS10" i="1" s="1"/>
  <c r="CK13" i="1" a="1"/>
  <c r="CK13" i="1" s="1"/>
  <c r="CO12" i="1" a="1"/>
  <c r="CO12" i="1" s="1"/>
  <c r="AZ9" i="1" a="1"/>
  <c r="AZ9" i="1" s="1"/>
  <c r="CM9" i="1" a="1"/>
  <c r="CM9" i="1" s="1"/>
  <c r="CU9" i="1" a="1"/>
  <c r="CU9" i="1" s="1"/>
  <c r="AH13" i="1" a="1"/>
  <c r="AH13" i="1" s="1"/>
  <c r="CG11" i="1" a="1"/>
  <c r="CG11" i="1" s="1"/>
  <c r="H12" i="1"/>
  <c r="BY12" i="1" s="1"/>
  <c r="BD11" i="1" a="1"/>
  <c r="BD11" i="1" s="1"/>
  <c r="BQ13" i="1" a="1"/>
  <c r="BQ13" i="1" s="1"/>
  <c r="CS13" i="1" a="1"/>
  <c r="CS13" i="1" s="1"/>
  <c r="AJ12" i="1" a="1"/>
  <c r="AJ12" i="1" s="1"/>
  <c r="I9" i="1"/>
  <c r="CC9" i="1" s="1"/>
  <c r="BW10" i="1" a="1"/>
  <c r="BW10" i="1" s="1"/>
  <c r="AH11" i="1" a="1"/>
  <c r="AH11" i="1" s="1"/>
  <c r="BS12" i="1" a="1"/>
  <c r="BS12" i="1" s="1"/>
  <c r="BB12" i="1" a="1"/>
  <c r="BB12" i="1" s="1"/>
  <c r="AF12" i="1" a="1"/>
  <c r="AF12" i="1" s="1"/>
  <c r="B2" i="1" a="1"/>
  <c r="B2" i="1" s="1"/>
  <c r="AH9" i="1" a="1"/>
  <c r="AH9" i="1" s="1"/>
  <c r="CS9" i="1" a="1"/>
  <c r="CS9" i="1" s="1"/>
  <c r="BB9" i="1" a="1"/>
  <c r="BB9" i="1" s="1"/>
  <c r="CO10" i="1" a="1"/>
  <c r="CO10" i="1" s="1"/>
  <c r="CM13" i="1" a="1"/>
  <c r="CM13" i="1" s="1"/>
  <c r="CG10" i="1" a="1"/>
  <c r="CG10" i="1" s="1"/>
  <c r="CS12" i="1" a="1"/>
  <c r="CS12" i="1" s="1"/>
  <c r="CE11" i="1" a="1"/>
  <c r="CE11" i="1" s="1"/>
  <c r="BL10" i="1" a="1"/>
  <c r="BL10" i="1" s="1"/>
  <c r="BF9" i="1" a="1"/>
  <c r="BF9" i="1" s="1"/>
  <c r="AB12" i="1" a="1"/>
  <c r="AB12" i="1" s="1"/>
  <c r="CQ12" i="1" a="1"/>
  <c r="CQ12" i="1" s="1"/>
  <c r="BF10" i="1" a="1"/>
  <c r="BF10" i="1" s="1"/>
  <c r="AJ13" i="1" a="1"/>
  <c r="AJ13" i="1" s="1"/>
  <c r="BL11" i="1" a="1"/>
  <c r="BL11" i="1" s="1"/>
  <c r="BJ13" i="1" a="1"/>
  <c r="BJ13" i="1" s="1"/>
  <c r="CI12" i="1" a="1"/>
  <c r="CI12" i="1" s="1"/>
  <c r="CY12" i="1" a="1"/>
  <c r="CY12" i="1" s="1"/>
  <c r="AB13" i="1" a="1"/>
  <c r="AB13" i="1" s="1"/>
  <c r="BQ11" i="1" a="1"/>
  <c r="BQ11" i="1" s="1"/>
  <c r="CW12" i="1" a="1"/>
  <c r="CW12" i="1" s="1"/>
  <c r="CQ11" i="1" a="1"/>
  <c r="CQ11" i="1" s="1"/>
  <c r="BJ9" i="1" a="1"/>
  <c r="BJ9" i="1" s="1"/>
  <c r="BW12" i="1" a="1"/>
  <c r="BW12" i="1" s="1"/>
  <c r="CK10" i="1" a="1"/>
  <c r="CK10" i="1" s="1"/>
  <c r="CU12" i="1" a="1"/>
  <c r="CU12" i="1" s="1"/>
  <c r="AD12" i="1" a="1"/>
  <c r="AD12" i="1" s="1"/>
  <c r="BF11" i="1" a="1"/>
  <c r="BF11" i="1" s="1"/>
  <c r="AT13" i="1" a="1"/>
  <c r="AT13" i="1" s="1"/>
  <c r="AX10" i="1" a="1"/>
  <c r="AX10" i="1" s="1"/>
  <c r="CU10" i="1" a="1"/>
  <c r="CU10" i="1" s="1"/>
  <c r="AV12" i="1" a="1"/>
  <c r="AV12" i="1" s="1"/>
  <c r="BD9" i="1" a="1"/>
  <c r="BD9" i="1" s="1"/>
  <c r="AP11" i="1" a="1"/>
  <c r="AP11" i="1" s="1"/>
  <c r="AV10" i="1" a="1"/>
  <c r="AV10" i="1" s="1"/>
  <c r="AB9" i="1" a="1"/>
  <c r="AB9" i="1" s="1"/>
  <c r="CK9" i="1" a="1"/>
  <c r="CK9" i="1" s="1"/>
  <c r="AP10" i="1" a="1"/>
  <c r="AP10" i="1" s="1"/>
  <c r="CU13" i="1" a="1"/>
  <c r="CU13" i="1" s="1"/>
  <c r="CE9" i="1" a="1"/>
  <c r="CE9" i="1" s="1"/>
  <c r="AX9" i="1" a="1"/>
  <c r="AX9" i="1" s="1"/>
  <c r="AR13" i="1" a="1"/>
  <c r="AR13" i="1" s="1"/>
  <c r="BL9" i="1" a="1"/>
  <c r="BL9" i="1" s="1"/>
  <c r="CG13" i="1" a="1"/>
  <c r="CG13" i="1" s="1"/>
  <c r="AN9" i="1" a="1"/>
  <c r="AN9" i="1" s="1"/>
  <c r="BJ11" i="1" a="1"/>
  <c r="BJ11" i="1" s="1"/>
  <c r="BQ10" i="1" a="1"/>
  <c r="BQ10" i="1" s="1"/>
  <c r="AD9" i="1" a="1"/>
  <c r="AD9" i="1" s="1"/>
  <c r="AP13" i="1" a="1"/>
  <c r="AP13" i="1" s="1"/>
  <c r="CE13" i="1" a="1"/>
  <c r="CE13" i="1" s="1"/>
  <c r="CO11" i="1" a="1"/>
  <c r="CO11" i="1" s="1"/>
  <c r="AF10" i="1" a="1"/>
  <c r="AF10" i="1" s="1"/>
  <c r="AH12" i="1" a="1"/>
  <c r="AH12" i="1" s="1"/>
  <c r="CY11" i="1" a="1"/>
  <c r="CY11" i="1" s="1"/>
  <c r="AZ12" i="1" a="1"/>
  <c r="AZ12" i="1" s="1"/>
  <c r="AL9" i="1" a="1"/>
  <c r="AL9" i="1" s="1"/>
  <c r="AJ9" i="1" a="1"/>
  <c r="AJ9" i="1" s="1"/>
  <c r="AR10" i="1" a="1"/>
  <c r="AR10" i="1" s="1"/>
  <c r="AD13" i="1" a="1"/>
  <c r="AD13" i="1" s="1"/>
  <c r="BH10" i="1" a="1"/>
  <c r="BH10" i="1" s="1"/>
  <c r="CW10" i="1" a="1"/>
  <c r="CW10" i="1" s="1"/>
  <c r="CW11" i="1" a="1"/>
  <c r="CW11" i="1" s="1"/>
  <c r="CM10" i="1" a="1"/>
  <c r="CM10" i="1" s="1"/>
  <c r="H10" i="1"/>
  <c r="BY10" i="1" s="1"/>
  <c r="I12" i="1"/>
  <c r="CC12" i="1" s="1"/>
  <c r="I13" i="1"/>
  <c r="CC13" i="1" s="1"/>
  <c r="B4" i="1" a="1"/>
  <c r="B4" i="1" s="1"/>
  <c r="AX12" i="1" a="1"/>
  <c r="AX12" i="1" s="1"/>
  <c r="CM12" i="1" a="1"/>
  <c r="CM12" i="1" s="1"/>
  <c r="CI9" i="1" a="1"/>
  <c r="CI9" i="1" s="1"/>
  <c r="CU11" i="1" a="1"/>
  <c r="CU11" i="1" s="1"/>
  <c r="AN11" i="1" a="1"/>
  <c r="AN11" i="1" s="1"/>
  <c r="BH12" i="1" a="1"/>
  <c r="BH12" i="1" s="1"/>
  <c r="AD11" i="1" a="1"/>
  <c r="AD11" i="1" s="1"/>
  <c r="CK12" i="1" a="1"/>
  <c r="CK12" i="1" s="1"/>
  <c r="BS13" i="1" a="1"/>
  <c r="BS13" i="1" s="1"/>
  <c r="AB11" i="1" a="1"/>
  <c r="AB11" i="1" s="1"/>
  <c r="AX11" i="1" a="1"/>
  <c r="AX11" i="1" s="1"/>
  <c r="AH10" i="1" a="1"/>
  <c r="AH10" i="1" s="1"/>
  <c r="H11" i="1"/>
  <c r="BY11" i="1" s="1"/>
  <c r="AZ10" i="1" a="1"/>
  <c r="AZ10" i="1" s="1"/>
  <c r="BL12" i="1" a="1"/>
  <c r="BL12" i="1" s="1"/>
  <c r="AF11" i="1" a="1"/>
  <c r="AF11" i="1" s="1"/>
  <c r="CQ13" i="1" a="1"/>
  <c r="CQ13" i="1" s="1"/>
  <c r="BH9" i="1" a="1"/>
  <c r="BH9" i="1" s="1"/>
  <c r="CO9" i="1" a="1"/>
  <c r="CO9" i="1" s="1"/>
  <c r="CS11" i="1" a="1"/>
  <c r="CS11" i="1" s="1"/>
  <c r="AP12" i="1" a="1"/>
  <c r="AP12" i="1" s="1"/>
  <c r="AP9" i="1" a="1"/>
  <c r="AP9" i="1" s="1"/>
  <c r="CI13" i="1" a="1"/>
  <c r="CI13" i="1" s="1"/>
  <c r="AX13" i="1" a="1"/>
  <c r="AX13" i="1" s="1"/>
  <c r="AB10" i="1" a="1"/>
  <c r="AB10" i="1" s="1"/>
  <c r="AT9" i="1" a="1"/>
  <c r="AT9" i="1" s="1"/>
  <c r="AL13" i="1" a="1"/>
  <c r="AL13" i="1" s="1"/>
  <c r="CW13" i="1" a="1"/>
  <c r="CW13" i="1" s="1"/>
  <c r="AZ11" i="1" a="1"/>
  <c r="AZ11" i="1" s="1"/>
  <c r="BB11" i="1" a="1"/>
  <c r="BB11" i="1" s="1"/>
  <c r="BW11" i="1" a="1"/>
  <c r="BW11" i="1" s="1"/>
  <c r="B3" i="1"/>
  <c r="H13" i="1"/>
  <c r="BY13" i="1" s="1"/>
  <c r="BJ10" i="1" a="1"/>
  <c r="BJ10" i="1" s="1"/>
  <c r="CY10" i="1" a="1"/>
  <c r="CY10" i="1" s="1"/>
  <c r="CO13" i="1" a="1"/>
  <c r="CO13" i="1" s="1"/>
  <c r="AN10" i="1" a="1"/>
  <c r="AN10" i="1" s="1"/>
  <c r="AR9" i="1" a="1"/>
  <c r="AR9" i="1" s="1"/>
  <c r="AR11" i="1" a="1"/>
  <c r="AR11" i="1" s="1"/>
  <c r="BU9" i="1" a="1"/>
  <c r="BU9" i="1" s="1"/>
  <c r="AL11" i="1" a="1"/>
  <c r="AL11" i="1" s="1"/>
  <c r="AL12" i="1" a="1"/>
  <c r="AL12" i="1" s="1"/>
  <c r="BW13" i="1" a="1"/>
  <c r="BW13" i="1" s="1"/>
  <c r="H9" i="1"/>
  <c r="BY9" i="1" s="1"/>
  <c r="AZ13" i="1" a="1"/>
  <c r="AZ13" i="1" s="1"/>
  <c r="BU13" i="1" a="1"/>
  <c r="BU13" i="1" s="1"/>
  <c r="CG12" i="1" a="1"/>
  <c r="CG12" i="1" s="1"/>
  <c r="BF12" i="1" a="1"/>
  <c r="BF12" i="1" s="1"/>
  <c r="BU12" i="1" a="1"/>
  <c r="BU12" i="1" s="1"/>
  <c r="BB13" i="1" a="1"/>
  <c r="BB13" i="1" s="1"/>
  <c r="CW9" i="1" a="1"/>
  <c r="CW9" i="1" s="1"/>
  <c r="CK11" i="1" a="1"/>
  <c r="CK11" i="1" s="1"/>
  <c r="AV9" i="1" a="1"/>
  <c r="AV9" i="1" s="1"/>
  <c r="BH11" i="1" a="1"/>
  <c r="BH11" i="1" s="1"/>
  <c r="BB10" i="1" a="1"/>
  <c r="BB10" i="1" s="1"/>
  <c r="CS10" i="1" a="1"/>
  <c r="CS10" i="1" s="1"/>
  <c r="BD13" i="1" a="1"/>
  <c r="BD13" i="1" s="1"/>
  <c r="BQ9" i="1" a="1"/>
  <c r="BQ9" i="1" s="1"/>
  <c r="CQ10" i="1" a="1"/>
  <c r="CQ10" i="1" s="1"/>
  <c r="AT11" i="1" a="1"/>
  <c r="AT11" i="1" s="1"/>
  <c r="BU11" i="1" a="1"/>
  <c r="BU11" i="1" s="1"/>
  <c r="CG9" i="1" a="1"/>
  <c r="CG9" i="1" s="1"/>
  <c r="AF13" i="1" a="1"/>
  <c r="AF13" i="1" s="1"/>
  <c r="CM11" i="1" a="1"/>
  <c r="CM11" i="1" s="1"/>
  <c r="CE10" i="1" a="1"/>
  <c r="CE10" i="1" s="1"/>
  <c r="AJ10" i="1" a="1"/>
  <c r="AJ10" i="1" s="1"/>
  <c r="CI11" i="1" a="1"/>
  <c r="CI11" i="1" s="1"/>
  <c r="BS9" i="1" a="1"/>
  <c r="BS9" i="1" s="1"/>
  <c r="AJ11" i="1" a="1"/>
  <c r="AJ11" i="1" s="1"/>
  <c r="AF9" i="1" a="1"/>
  <c r="AF9" i="1" s="1"/>
  <c r="AL10" i="1" a="1"/>
  <c r="AL10" i="1" s="1"/>
  <c r="BD12" i="1" a="1"/>
  <c r="BD12" i="1" s="1"/>
  <c r="BF13" i="1" a="1"/>
  <c r="BF13" i="1" s="1"/>
  <c r="AT10" i="1" a="1"/>
  <c r="AT10" i="1" s="1"/>
  <c r="CQ9" i="1" a="1"/>
  <c r="CQ9" i="1" s="1"/>
  <c r="AR12" i="1" a="1"/>
  <c r="AR12" i="1" s="1"/>
  <c r="AD10" i="1" a="1"/>
  <c r="AD10" i="1" s="1"/>
  <c r="AS9" i="3"/>
  <c r="A9" i="3" s="1"/>
  <c r="F30" i="19" l="1"/>
  <c r="X13" i="1"/>
  <c r="X11" i="1"/>
  <c r="X10" i="1"/>
  <c r="X9" i="1"/>
  <c r="X12" i="1"/>
  <c r="Z12" i="1"/>
  <c r="Z9" i="1"/>
  <c r="Z13" i="1"/>
  <c r="Z11" i="1"/>
  <c r="Z10" i="1"/>
  <c r="AS10" i="3"/>
  <c r="A10" i="3" s="1"/>
  <c r="V12" i="1"/>
  <c r="C12" i="1"/>
  <c r="C13" i="1"/>
  <c r="DC13" i="1"/>
  <c r="C9" i="1"/>
  <c r="V11" i="1"/>
  <c r="V10" i="1"/>
  <c r="N11" i="1"/>
  <c r="V9" i="1"/>
  <c r="N12" i="1"/>
  <c r="DC12" i="1"/>
  <c r="C11" i="1"/>
  <c r="DC11" i="1"/>
  <c r="V13" i="1"/>
  <c r="DC9" i="1"/>
  <c r="C10" i="1"/>
  <c r="DC10" i="1"/>
  <c r="N9" i="1"/>
  <c r="N10" i="1"/>
  <c r="N13" i="1"/>
  <c r="F31" i="19" l="1"/>
  <c r="R13" i="1"/>
  <c r="O13" i="1" s="1"/>
  <c r="B13" i="1"/>
  <c r="E13" i="1" s="1"/>
  <c r="R12" i="1"/>
  <c r="O12" i="1" s="1"/>
  <c r="B12" i="1"/>
  <c r="E12" i="1" s="1"/>
  <c r="AS11" i="3"/>
  <c r="A11" i="3" s="1"/>
  <c r="B11" i="1"/>
  <c r="E11" i="1" s="1"/>
  <c r="R11" i="1"/>
  <c r="O11" i="1" s="1"/>
  <c r="B9" i="1"/>
  <c r="E9" i="1" s="1"/>
  <c r="R9" i="1"/>
  <c r="O9" i="1" s="1"/>
  <c r="B10" i="1"/>
  <c r="E10" i="1" s="1"/>
  <c r="R10" i="1"/>
  <c r="O10" i="1" s="1"/>
  <c r="F32" i="19" l="1"/>
  <c r="AS12" i="3"/>
  <c r="A12" i="3" s="1"/>
  <c r="F33" i="19" l="1"/>
  <c r="AS13" i="3"/>
  <c r="A13" i="3" s="1"/>
  <c r="F34" i="19" l="1"/>
  <c r="AS14" i="3"/>
  <c r="A14" i="3" s="1"/>
  <c r="F35" i="19" l="1"/>
  <c r="AS15" i="3"/>
  <c r="A15" i="3" s="1"/>
  <c r="F36" i="19" l="1"/>
  <c r="AS16" i="3"/>
  <c r="A16" i="3" s="1"/>
  <c r="F37" i="19" l="1"/>
  <c r="AS17" i="3"/>
  <c r="A17" i="3" s="1"/>
  <c r="F38" i="19" l="1"/>
  <c r="AS18" i="3"/>
  <c r="A18" i="3" s="1"/>
  <c r="F39" i="19" l="1"/>
  <c r="AS19" i="3"/>
  <c r="A19" i="3" s="1"/>
  <c r="F40" i="19" l="1"/>
  <c r="AS20" i="3"/>
  <c r="A20" i="3" s="1"/>
  <c r="F41" i="19" l="1"/>
  <c r="AS21" i="3"/>
  <c r="A21" i="3" s="1"/>
  <c r="F42" i="19" l="1"/>
  <c r="AS22" i="3"/>
  <c r="A22" i="3" s="1"/>
  <c r="AS23" i="3" l="1"/>
  <c r="A23" i="3" s="1"/>
  <c r="A27"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<sst xmlns="http://schemas.openxmlformats.org/spreadsheetml/2006/main" count="2277" uniqueCount="695">
  <si>
    <t>Air Affairs EFB Revision State</t>
  </si>
  <si>
    <t xml:space="preserve">Release No </t>
  </si>
  <si>
    <t>Effective Date</t>
  </si>
  <si>
    <t>1-006</t>
  </si>
  <si>
    <t>Please ensure that your EFB has the AUTOMATIC DOWNLOADS for APP UPDATES selected to off in the SETTINGS/iTUNES &amp; APP STORE.  Only update applications when new versions are authorised on this document.  New versions of this revision state will be sent by email as they occur but are also available in Ozrunways and ACS</t>
  </si>
  <si>
    <t>Note: The revision states indicated are for the software versions used on Air Affairs EFBs.  The databases contained within that software (i.e. OzRunways and JeppFD) should always be updated and in date before flying</t>
  </si>
  <si>
    <t>Application</t>
  </si>
  <si>
    <t>Version Released</t>
  </si>
  <si>
    <t>Apple IPadOS</t>
  </si>
  <si>
    <t>UPDATE ON RELEASE</t>
  </si>
  <si>
    <t xml:space="preserve">JeppFD </t>
  </si>
  <si>
    <t>Good Reader</t>
  </si>
  <si>
    <t>OzRunways App</t>
  </si>
  <si>
    <t>OzRunways Air Affairs Database</t>
  </si>
  <si>
    <t>OzRunways Aircraft Profiles</t>
  </si>
  <si>
    <t>AL</t>
  </si>
  <si>
    <t>Aircraft</t>
  </si>
  <si>
    <t>SLF</t>
  </si>
  <si>
    <t>Boiler Room</t>
  </si>
  <si>
    <t>Type</t>
  </si>
  <si>
    <t>Registration</t>
  </si>
  <si>
    <t>Engines</t>
  </si>
  <si>
    <t>Avaialble Profiles</t>
  </si>
  <si>
    <t>Callsign</t>
  </si>
  <si>
    <t>Profile Required</t>
  </si>
  <si>
    <t>Profile Compile</t>
  </si>
  <si>
    <t>Locked</t>
  </si>
  <si>
    <t>Use Fuel Tables</t>
  </si>
  <si>
    <t>Reserve Fuel</t>
  </si>
  <si>
    <t>Default Refuel</t>
  </si>
  <si>
    <t>Filename</t>
  </si>
  <si>
    <t>Data</t>
  </si>
  <si>
    <t>DinghyColor</t>
  </si>
  <si>
    <t>SafetyEquipment</t>
  </si>
  <si>
    <t>SurveillanceEquipment</t>
  </si>
  <si>
    <t>PBN</t>
  </si>
  <si>
    <t>EmergencyRadio</t>
  </si>
  <si>
    <t>DinghyCapacity</t>
  </si>
  <si>
    <t>NumberDinghies</t>
  </si>
  <si>
    <t>EquipmentInformation</t>
  </si>
  <si>
    <t>DinghiesCovered</t>
  </si>
  <si>
    <t>PlannedTas</t>
  </si>
  <si>
    <t>ClimbTas</t>
  </si>
  <si>
    <t>ClimbBurn</t>
  </si>
  <si>
    <t>DescentRate</t>
  </si>
  <si>
    <t>HoverBurn</t>
  </si>
  <si>
    <t>FuelCapacity</t>
  </si>
  <si>
    <t>GlideTas</t>
  </si>
  <si>
    <t>ClimbRate</t>
  </si>
  <si>
    <t>GlideRatio</t>
  </si>
  <si>
    <t>STS</t>
  </si>
  <si>
    <t>CruiseTas</t>
  </si>
  <si>
    <t>DescentTas</t>
  </si>
  <si>
    <t>LoiterTas</t>
  </si>
  <si>
    <t>HoldingTas</t>
  </si>
  <si>
    <t>ReserveFuel</t>
  </si>
  <si>
    <t>UseFuel Tables</t>
  </si>
  <si>
    <t>DefaultRefuel</t>
  </si>
  <si>
    <t>AWKBurn</t>
  </si>
  <si>
    <t>CruiseBurn</t>
  </si>
  <si>
    <t>FixedReserveTime</t>
  </si>
  <si>
    <t>VariableFuelMinimum</t>
  </si>
  <si>
    <t>TaxiBurn</t>
  </si>
  <si>
    <t>ICAO</t>
  </si>
  <si>
    <t>Performance</t>
  </si>
  <si>
    <t>Color</t>
  </si>
  <si>
    <t>Manufacturer</t>
  </si>
  <si>
    <t>WakeCategory</t>
  </si>
  <si>
    <t>ServiceCeiling</t>
  </si>
  <si>
    <t>CIV</t>
  </si>
  <si>
    <t>0</t>
  </si>
  <si>
    <t>{</t>
  </si>
  <si>
    <t>"Aircraft_ID": "</t>
  </si>
  <si>
    <t>","Type": "</t>
  </si>
  <si>
    <t>","Code": "</t>
  </si>
  <si>
    <t>",  "Registration": "</t>
  </si>
  <si>
    <t>",  "Engine": "</t>
  </si>
  <si>
    <t>",   "Equipment": { "DinghyColor": "</t>
  </si>
  <si>
    <t>", "SafetyEquipment": "</t>
  </si>
  <si>
    <t>", "SurveillanceEquipment": "</t>
  </si>
  <si>
    <t>", "PBN": "</t>
  </si>
  <si>
    <t>", "EmergencyRadio": "</t>
  </si>
  <si>
    <t>", "DinghyCapacity": "</t>
  </si>
  <si>
    <t>", "NumberDinghies": "</t>
  </si>
  <si>
    <t>","EquipmentInformation": "</t>
  </si>
  <si>
    <t>", "DinghiesCovered": "</t>
  </si>
  <si>
    <t>"},"PlannedTas": "</t>
  </si>
  <si>
    <t>",  "ClimbTas": "</t>
  </si>
  <si>
    <t>", "ClimbBurn": "</t>
  </si>
  <si>
    <t>","DescentRate": "</t>
  </si>
  <si>
    <t>", "HoverBurn": "</t>
  </si>
  <si>
    <t>", "FuelCapacity": "</t>
  </si>
  <si>
    <t>", "GlideTas": "</t>
  </si>
  <si>
    <t>", "MomentArmUnits": "in", "ClimbRate": "</t>
  </si>
  <si>
    <t>","GlideRatio": "</t>
  </si>
  <si>
    <t>", "STS": "</t>
  </si>
  <si>
    <t xml:space="preserve">", "OPR": "AIR AFFAIRS", "lockedForLimitedEditing": </t>
  </si>
  <si>
    <t>, "CruiseTas": "</t>
  </si>
  <si>
    <t>", "DescentTas": "</t>
  </si>
  <si>
    <t>",  "LoiterTas": "</t>
  </si>
  <si>
    <t>",  "HoldingTas": "</t>
  </si>
  <si>
    <t>",  "ReserveFuel": "</t>
  </si>
  <si>
    <t>", "UseFuelTables": "</t>
  </si>
  <si>
    <t>","DefaultRefuel": "</t>
  </si>
  <si>
    <t>",  "AWKBurn": "</t>
  </si>
  <si>
    <t>",  "CruiseBurn": "</t>
  </si>
  <si>
    <t>", "FixedReserveTime": "</t>
  </si>
  <si>
    <t>", "VariableFuelMinimum": "</t>
  </si>
  <si>
    <t>",  "TaxiBurn": "</t>
  </si>
  <si>
    <t>", "HeightUnits": "ft", "ICAO": "</t>
  </si>
  <si>
    <t>","WeightUnits": "lbs","Performance": "</t>
  </si>
  <si>
    <t>","FuelUnits": "lbs","Configs": [],"FuelType": "AvTur","TasUnits": "kts", "Color": "</t>
  </si>
  <si>
    <t>","Manufacturer": "</t>
  </si>
  <si>
    <t>","WakeCategory": "</t>
  </si>
  <si>
    <t>","ServiceCeiling": "</t>
  </si>
  <si>
    <t>","LoadSheets": [{}],</t>
  </si>
  <si>
    <t>"</t>
  </si>
  <si>
    <t>}</t>
  </si>
  <si>
    <t>MIL</t>
  </si>
  <si>
    <t>MTR</t>
  </si>
  <si>
    <t>FSC</t>
  </si>
  <si>
    <t xml:space="preserve"> FFR</t>
  </si>
  <si>
    <t>AMD</t>
  </si>
  <si>
    <t xml:space="preserve"> MEDEVAC</t>
  </si>
  <si>
    <t>Tail number</t>
  </si>
  <si>
    <t>Serial</t>
  </si>
  <si>
    <t>Deliniator</t>
  </si>
  <si>
    <t>VariableReserveFuel</t>
  </si>
  <si>
    <t>CLN</t>
  </si>
  <si>
    <t>POD</t>
  </si>
  <si>
    <t>SLD</t>
  </si>
  <si>
    <t>L35</t>
  </si>
  <si>
    <t>EB1</t>
  </si>
  <si>
    <t>A1O2S1</t>
  </si>
  <si>
    <t>SDFGHURZW</t>
  </si>
  <si>
    <t>FG</t>
  </si>
  <si>
    <t>C</t>
  </si>
  <si>
    <t>Grey</t>
  </si>
  <si>
    <t>Bombardier</t>
  </si>
  <si>
    <t>M</t>
  </si>
  <si>
    <t>LRX</t>
  </si>
  <si>
    <t>White</t>
  </si>
  <si>
    <t>LJQ</t>
  </si>
  <si>
    <t>LPJ</t>
  </si>
  <si>
    <t>LJU</t>
  </si>
  <si>
    <t>LPS</t>
  </si>
  <si>
    <t>A1O2S2</t>
  </si>
  <si>
    <t>SLE</t>
  </si>
  <si>
    <t>VLJ</t>
  </si>
  <si>
    <t>SDGHURZW</t>
  </si>
  <si>
    <t>Silver</t>
  </si>
  <si>
    <t>LFA</t>
  </si>
  <si>
    <t>LRH</t>
  </si>
  <si>
    <t>O2S1</t>
  </si>
  <si>
    <t>LJA</t>
  </si>
  <si>
    <t>040</t>
  </si>
  <si>
    <t>SLJ</t>
  </si>
  <si>
    <t>014</t>
  </si>
  <si>
    <t>LPX</t>
  </si>
  <si>
    <t>L31</t>
  </si>
  <si>
    <t>O2S2</t>
  </si>
  <si>
    <t>LJW</t>
  </si>
  <si>
    <t>055</t>
  </si>
  <si>
    <t>SDFGHIRZ</t>
  </si>
  <si>
    <t>NPP</t>
  </si>
  <si>
    <t>L60</t>
  </si>
  <si>
    <t>A1B2C2D2L1O2S2</t>
  </si>
  <si>
    <t>LJZ</t>
  </si>
  <si>
    <t>162</t>
  </si>
  <si>
    <t>LAB</t>
  </si>
  <si>
    <t>B200</t>
  </si>
  <si>
    <t>023</t>
  </si>
  <si>
    <t>SDFGHRZ</t>
  </si>
  <si>
    <t>B</t>
  </si>
  <si>
    <t>Beechcraft</t>
  </si>
  <si>
    <t>L</t>
  </si>
  <si>
    <t>ZMP</t>
  </si>
  <si>
    <t>Altitude</t>
  </si>
  <si>
    <t>PlanTas</t>
  </si>
  <si>
    <t>DescentBurn</t>
  </si>
  <si>
    <t>LoiterBurn</t>
  </si>
  <si>
    <t>HoldingBurn</t>
  </si>
  <si>
    <t>AircraftPerformance": [{</t>
  </si>
  <si>
    <t>L35MTR</t>
  </si>
  <si>
    <t>AircraftPerformance":[{}]</t>
  </si>
  <si>
    <t>17000lbs</t>
  </si>
  <si>
    <t>250kts to 17,000 then M0.7</t>
  </si>
  <si>
    <t>Calculated</t>
  </si>
  <si>
    <t>L35 MTR</t>
  </si>
  <si>
    <t>230kts to M0.6 changeover</t>
  </si>
  <si>
    <t>Calculated Clean L35</t>
  </si>
  <si>
    <t>MTR Adjusted for reduced TAS</t>
  </si>
  <si>
    <t>15500lbs</t>
  </si>
  <si>
    <t>21000lbs</t>
  </si>
  <si>
    <t>time</t>
  </si>
  <si>
    <t>dist</t>
  </si>
  <si>
    <t>fuel</t>
  </si>
  <si>
    <t>Clim Rate (fpm)</t>
  </si>
  <si>
    <t>Climb Burn (lb/hr)</t>
  </si>
  <si>
    <t>TAS</t>
  </si>
  <si>
    <t>M0.75</t>
  </si>
  <si>
    <t>M0.68</t>
  </si>
  <si>
    <t>M0.76</t>
  </si>
  <si>
    <t>Fuel Flow (lb/hr)</t>
  </si>
  <si>
    <t>L35 Pod</t>
  </si>
  <si>
    <t>Cruise TAS</t>
  </si>
  <si>
    <t>Cruise ff</t>
  </si>
  <si>
    <t>LR31</t>
  </si>
  <si>
    <t>Firescan</t>
  </si>
  <si>
    <t>LR31 2</t>
  </si>
  <si>
    <t>LR35 Pod</t>
  </si>
  <si>
    <t>LR35</t>
  </si>
  <si>
    <t>LR60</t>
  </si>
  <si>
    <t>1500</t>
  </si>
  <si>
    <t>2000</t>
  </si>
  <si>
    <t>AircraftPerformance": [{"Altitude": "45000","ClimbTas": "410","ClimbBurn": "1800","ClimbRate": "1","CruiseTas": "434","CruiseBurn": "1285","PlanTas": "0","DescentBurn": "0","DescentTas": "0","DescentRate": "0","LoiterBurn": "0","HoldingBurn": "0","TaxiBurn": "0"},{"Altitude": "43000","ClimbTas": "410","ClimbBurn": "1835","ClimbRate": "1","CruiseTas": "437","CruiseBurn": "1254","PlanTas": "0","DescentBurn": "0","DescentTas": "0","DescentRate": "0","LoiterBurn": "0","HoldingBurn": "0","TaxiBurn": "0"},{"Altitude": "41000","ClimbTas": "410","ClimbBurn": "1872","ClimbRate": "221","CruiseTas": "440","CruiseBurn": "1246","PlanTas": "0","DescentBurn": "0","DescentTas": "0","DescentRate": "0","LoiterBurn": "0","HoldingBurn": "0","TaxiBurn": "0"},{"Altitude": "39000","ClimbTas": "410","ClimbBurn": "1911","ClimbRate": "489","CruiseTas": "442","CruiseBurn": "1260","PlanTas": "0","DescentBurn": "0","DescentTas": "0","DescentRate": "0","LoiterBurn": "0","HoldingBurn": "0","TaxiBurn": "0"},{"Altitude": "37000","ClimbTas": "410","ClimbBurn": "1952","ClimbRate": "747","CruiseTas": "444","CruiseBurn": "1294","PlanTas": "0","DescentBurn": "0","DescentTas": "0","DescentRate": "0","LoiterBurn": "0","HoldingBurn": "0","TaxiBurn": "0"},{"Altitude": "35000","ClimbTas": "412","ClimbBurn": "1994","ClimbRate": "996","CruiseTas": "444","CruiseBurn": "1348","PlanTas": "0","DescentBurn": "0","DescentTas": "0","DescentRate": "0","LoiterBurn": "0","HoldingBurn": "0","TaxiBurn": "0"},{"Altitude": "33000","ClimbTas": "416","ClimbBurn": "2038","ClimbRate": "1235","CruiseTas": "444","CruiseBurn": "1419","PlanTas": "0","DescentBurn": "0","DescentTas": "0","DescentRate": "0","LoiterBurn": "0","HoldingBurn": "0","TaxiBurn": "0"},{"Altitude": "31000","ClimbTas": "408","ClimbBurn": "2085","ClimbRate": "1465","CruiseTas": "443","CruiseBurn": "1508","PlanTas": "0","DescentBurn": "0","DescentTas": "0","DescentRate": "0","LoiterBurn": "0","HoldingBurn": "0","TaxiBurn": "0"},{"Altitude": "29000","ClimbTas": "395","ClimbBurn": "2133","ClimbRate": "1685","CruiseTas": "440","CruiseBurn": "1611","PlanTas": "0","DescentBurn": "0","DescentTas": "0","DescentRate": "0","LoiterBurn": "0","HoldingBurn": "0","TaxiBurn": "0"},{"Altitude": "27000","ClimbTas": "383","ClimbBurn": "2183","ClimbRate": "1896","CruiseTas": "437","CruiseBurn": "1728","PlanTas": "0","DescentBurn": "0","DescentTas": "0","DescentRate": "0","LoiterBurn": "0","HoldingBurn": "0","TaxiBurn": "0"},{"Altitude": "25000","ClimbTas": "370","ClimbBurn": "2235","ClimbRate": "2097","CruiseTas": "432","CruiseBurn": "1858","PlanTas": "0","DescentBurn": "0","DescentTas": "0","DescentRate": "0","LoiterBurn": "0","HoldingBurn": "0","TaxiBurn": "0"},{"Altitude": "23000","ClimbTas": "359","ClimbBurn": "2288","ClimbRate": "2289","CruiseTas": "426","CruiseBurn": "2000","PlanTas": "0","DescentBurn": "0","DescentTas": "0","DescentRate": "0","LoiterBurn": "0","HoldingBurn": "0","TaxiBurn": "0"},{"Altitude": "21000","ClimbTas": "348","ClimbBurn": "2344","ClimbRate": "2471","CruiseTas": "418","CruiseBurn": "2151","PlanTas": "0","DescentBurn": "0","DescentTas": "0","DescentRate": "0","LoiterBurn": "0","HoldingBurn": "0","TaxiBurn": "0"},{"Altitude": "19000","ClimbTas": "337","ClimbBurn": "2402","ClimbRate": "2643","CruiseTas": "409","CruiseBurn": "2310","PlanTas": "0","DescentBurn": "0","DescentTas": "0","DescentRate": "0","LoiterBurn": "0","HoldingBurn": "0","TaxiBurn": "0"},{"Altitude": "17000","ClimbTas": "327","ClimbBurn": "2461","ClimbRate": "2807","CruiseTas": "398","CruiseBurn": "2477","PlanTas": "0","DescentBurn": "0","DescentTas": "0","DescentRate": "0","LoiterBurn": "0","HoldingBurn": "0","TaxiBurn": "0"},{"Altitude": "15000","ClimbTas": "317","ClimbBurn": "2522","ClimbRate": "2960","CruiseTas": "385","CruiseBurn": "2650","PlanTas": "0","DescentBurn": "0","DescentTas": "0","DescentRate": "0","LoiterBurn": "0","HoldingBurn": "0","TaxiBurn": "0"},{"Altitude": "13000","ClimbTas": "307","ClimbBurn": "2585","ClimbRate": "3104","CruiseTas": "371","CruiseBurn": "2827","PlanTas": "0","DescentBurn": "0","DescentTas": "0","DescentRate": "0","LoiterBurn": "0","HoldingBurn": "0","TaxiBurn": "0"},{"Altitude": "11000","ClimbTas": "298","ClimbBurn": "2650","ClimbRate": "3239","CruiseTas": "355","CruiseBurn": "3008","PlanTas": "0","DescentBurn": "0","DescentTas": "0","DescentRate": "0","LoiterBurn": "0","HoldingBurn": "0","TaxiBurn": "0"},{"Altitude": "9000","ClimbTas": "289","ClimbBurn": "2717","ClimbRate": "3364","CruiseTas": "337","CruiseBurn": "3190","PlanTas": "0","DescentBurn": "0","DescentTas": "0","DescentRate": "0","LoiterBurn": "0","HoldingBurn": "0","TaxiBurn": "0"},{"Altitude": "7000","ClimbTas": "281","ClimbBurn": "2786","ClimbRate": "3479","CruiseTas": "316","CruiseBurn": "3373","PlanTas": "0","DescentBurn": "0","DescentTas": "0","DescentRate": "0","LoiterBurn": "0","HoldingBurn": "0","TaxiBurn": "0"},{"Altitude": "5000","ClimbTas": "273","ClimbBurn": "2856","ClimbRate": "3585","CruiseTas": "294","CruiseBurn": "3556","PlanTas": "0","DescentBurn": "0","DescentTas": "0","DescentRate": "0","LoiterBurn": "0","HoldingBurn": "0","TaxiBurn": "0"},{"Altitude": "3000","ClimbTas": "265","ClimbBurn": "2929","ClimbRate": "3681","CruiseTas": "269","CruiseBurn": "3736","PlanTas": "0","DescentBurn": "0","DescentTas": "0","DescentRate": "0","LoiterBurn": "0","HoldingBurn": "0","TaxiBurn": "0"},{"Altitude": "1000","ClimbTas": "257","ClimbBurn": "3003","ClimbRate": "3768","CruiseTas": "242","CruiseBurn": "3913","PlanTas": "0","DescentBurn": "0","DescentTas": "0","DescentRate": "0","LoiterBurn": "0","HoldingBurn": "0","TaxiBurn": "0"}]</t>
  </si>
  <si>
    <t>"Altitude": "45000",</t>
  </si>
  <si>
    <t>"ClimbTas": "410",</t>
  </si>
  <si>
    <t>"ClimbBurn": "1800",</t>
  </si>
  <si>
    <t>"ClimbRate": "1",</t>
  </si>
  <si>
    <t>"CruiseTas": "434",</t>
  </si>
  <si>
    <t>"CruiseBurn": "1285",</t>
  </si>
  <si>
    <t>"PlanTas": "0",</t>
  </si>
  <si>
    <t>"DescentBurn": "0",</t>
  </si>
  <si>
    <t>"DescentTas": "0",</t>
  </si>
  <si>
    <t>"DescentRate": "0",</t>
  </si>
  <si>
    <t>"LoiterBurn": "0",</t>
  </si>
  <si>
    <t>"HoldingBurn": "0",</t>
  </si>
  <si>
    <t>"TaxiBurn": "0"},</t>
  </si>
  <si>
    <t>AircraftPerformance": [{"Altitude": "45000","ClimbTas": "410","ClimbBurn": "1800","ClimbRate": "1","CruiseTas": "434","CruiseBurn": "1285","PlanTas": "0","DescentBurn": "0","DescentTas": "0","DescentRate": "0","LoiterBurn": "0","HoldingBurn": "0","TaxiBurn": "0"},</t>
  </si>
  <si>
    <t>"Altitude": "43000",</t>
  </si>
  <si>
    <t>"ClimbBurn": "1835",</t>
  </si>
  <si>
    <t>"CruiseTas": "437",</t>
  </si>
  <si>
    <t>"CruiseBurn": "1254",</t>
  </si>
  <si>
    <t>{"Altitude": "43000","ClimbTas": "410","ClimbBurn": "1835","ClimbRate": "1","CruiseTas": "437","CruiseBurn": "1254","PlanTas": "0","DescentBurn": "0","DescentTas": "0","DescentRate": "0","LoiterBurn": "0","HoldingBurn": "0","TaxiBurn": "0"},</t>
  </si>
  <si>
    <t>"Altitude": "41000",</t>
  </si>
  <si>
    <t>"ClimbBurn": "1872",</t>
  </si>
  <si>
    <t>"ClimbRate": "221",</t>
  </si>
  <si>
    <t>"CruiseTas": "440",</t>
  </si>
  <si>
    <t>"CruiseBurn": "1246",</t>
  </si>
  <si>
    <t>{"Altitude": "41000","ClimbTas": "410","ClimbBurn": "1872","ClimbRate": "221","CruiseTas": "440","CruiseBurn": "1246","PlanTas": "0","DescentBurn": "0","DescentTas": "0","DescentRate": "0","LoiterBurn": "0","HoldingBurn": "0","TaxiBurn": "0"},</t>
  </si>
  <si>
    <t>"Altitude": "39000",</t>
  </si>
  <si>
    <t>"ClimbBurn": "1911",</t>
  </si>
  <si>
    <t>"ClimbRate": "489",</t>
  </si>
  <si>
    <t>"CruiseTas": "442",</t>
  </si>
  <si>
    <t>"CruiseBurn": "1260",</t>
  </si>
  <si>
    <t>{"Altitude": "39000","ClimbTas": "410","ClimbBurn": "1911","ClimbRate": "489","CruiseTas": "442","CruiseBurn": "1260","PlanTas": "0","DescentBurn": "0","DescentTas": "0","DescentRate": "0","LoiterBurn": "0","HoldingBurn": "0","TaxiBurn": "0"},</t>
  </si>
  <si>
    <t>"Altitude": "37000",</t>
  </si>
  <si>
    <t>"ClimbBurn": "1952",</t>
  </si>
  <si>
    <t>"ClimbRate": "747",</t>
  </si>
  <si>
    <t>"CruiseTas": "444",</t>
  </si>
  <si>
    <t>"CruiseBurn": "1294",</t>
  </si>
  <si>
    <t>{"Altitude": "37000","ClimbTas": "410","ClimbBurn": "1952","ClimbRate": "747","CruiseTas": "444","CruiseBurn": "1294","PlanTas": "0","DescentBurn": "0","DescentTas": "0","DescentRate": "0","LoiterBurn": "0","HoldingBurn": "0","TaxiBurn": "0"},</t>
  </si>
  <si>
    <t>"Altitude": "35000",</t>
  </si>
  <si>
    <t>"ClimbTas": "412",</t>
  </si>
  <si>
    <t>"ClimbBurn": "1994",</t>
  </si>
  <si>
    <t>"ClimbRate": "996",</t>
  </si>
  <si>
    <t>"CruiseBurn": "1348",</t>
  </si>
  <si>
    <t>{"Altitude": "35000","ClimbTas": "412","ClimbBurn": "1994","ClimbRate": "996","CruiseTas": "444","CruiseBurn": "1348","PlanTas": "0","DescentBurn": "0","DescentTas": "0","DescentRate": "0","LoiterBurn": "0","HoldingBurn": "0","TaxiBurn": "0"},</t>
  </si>
  <si>
    <t>"Altitude": "33000",</t>
  </si>
  <si>
    <t>"ClimbTas": "416",</t>
  </si>
  <si>
    <t>"ClimbBurn": "2038",</t>
  </si>
  <si>
    <t>"ClimbRate": "1235",</t>
  </si>
  <si>
    <t>"CruiseBurn": "1419",</t>
  </si>
  <si>
    <t>{"Altitude": "33000","ClimbTas": "416","ClimbBurn": "2038","ClimbRate": "1235","CruiseTas": "444","CruiseBurn": "1419","PlanTas": "0","DescentBurn": "0","DescentTas": "0","DescentRate": "0","LoiterBurn": "0","HoldingBurn": "0","TaxiBurn": "0"},</t>
  </si>
  <si>
    <t>"Altitude": "31000",</t>
  </si>
  <si>
    <t>"ClimbTas": "408",</t>
  </si>
  <si>
    <t>"ClimbBurn": "2085",</t>
  </si>
  <si>
    <t>"ClimbRate": "1465",</t>
  </si>
  <si>
    <t>"CruiseTas": "443",</t>
  </si>
  <si>
    <t>"CruiseBurn": "1508",</t>
  </si>
  <si>
    <t>{"Altitude": "31000","ClimbTas": "408","ClimbBurn": "2085","ClimbRate": "1465","CruiseTas": "443","CruiseBurn": "1508","PlanTas": "0","DescentBurn": "0","DescentTas": "0","DescentRate": "0","LoiterBurn": "0","HoldingBurn": "0","TaxiBurn": "0"},</t>
  </si>
  <si>
    <t>"Altitude": "29000",</t>
  </si>
  <si>
    <t>"ClimbTas": "395",</t>
  </si>
  <si>
    <t>"ClimbBurn": "2133",</t>
  </si>
  <si>
    <t>"ClimbRate": "1685",</t>
  </si>
  <si>
    <t>"CruiseBurn": "1611",</t>
  </si>
  <si>
    <t>{"Altitude": "29000","ClimbTas": "395","ClimbBurn": "2133","ClimbRate": "1685","CruiseTas": "440","CruiseBurn": "1611","PlanTas": "0","DescentBurn": "0","DescentTas": "0","DescentRate": "0","LoiterBurn": "0","HoldingBurn": "0","TaxiBurn": "0"},</t>
  </si>
  <si>
    <t>"Altitude": "27000",</t>
  </si>
  <si>
    <t>"ClimbTas": "383",</t>
  </si>
  <si>
    <t>"ClimbBurn": "2183",</t>
  </si>
  <si>
    <t>"ClimbRate": "1896",</t>
  </si>
  <si>
    <t>"CruiseBurn": "1728",</t>
  </si>
  <si>
    <t>{"Altitude": "27000","ClimbTas": "383","ClimbBurn": "2183","ClimbRate": "1896","CruiseTas": "437","CruiseBurn": "1728","PlanTas": "0","DescentBurn": "0","DescentTas": "0","DescentRate": "0","LoiterBurn": "0","HoldingBurn": "0","TaxiBurn": "0"},</t>
  </si>
  <si>
    <t>"Altitude": "25000",</t>
  </si>
  <si>
    <t>"ClimbTas": "370",</t>
  </si>
  <si>
    <t>"ClimbBurn": "2235",</t>
  </si>
  <si>
    <t>"ClimbRate": "2097",</t>
  </si>
  <si>
    <t>"CruiseTas": "432",</t>
  </si>
  <si>
    <t>"CruiseBurn": "1858",</t>
  </si>
  <si>
    <t>{"Altitude": "25000","ClimbTas": "370","ClimbBurn": "2235","ClimbRate": "2097","CruiseTas": "432","CruiseBurn": "1858","PlanTas": "0","DescentBurn": "0","DescentTas": "0","DescentRate": "0","LoiterBurn": "0","HoldingBurn": "0","TaxiBurn": "0"},</t>
  </si>
  <si>
    <t>"Altitude": "23000",</t>
  </si>
  <si>
    <t>"ClimbTas": "359",</t>
  </si>
  <si>
    <t>"ClimbBurn": "2288",</t>
  </si>
  <si>
    <t>"ClimbRate": "2289",</t>
  </si>
  <si>
    <t>"CruiseTas": "426",</t>
  </si>
  <si>
    <t>"CruiseBurn": "2000",</t>
  </si>
  <si>
    <t>{"Altitude": "23000","ClimbTas": "359","ClimbBurn": "2288","ClimbRate": "2289","CruiseTas": "426","CruiseBurn": "2000","PlanTas": "0","DescentBurn": "0","DescentTas": "0","DescentRate": "0","LoiterBurn": "0","HoldingBurn": "0","TaxiBurn": "0"},</t>
  </si>
  <si>
    <t>"Altitude": "21000",</t>
  </si>
  <si>
    <t>"ClimbTas": "348",</t>
  </si>
  <si>
    <t>"ClimbBurn": "2344",</t>
  </si>
  <si>
    <t>"ClimbRate": "2471",</t>
  </si>
  <si>
    <t>"CruiseTas": "418",</t>
  </si>
  <si>
    <t>"CruiseBurn": "2151",</t>
  </si>
  <si>
    <t>{"Altitude": "21000","ClimbTas": "348","ClimbBurn": "2344","ClimbRate": "2471","CruiseTas": "418","CruiseBurn": "2151","PlanTas": "0","DescentBurn": "0","DescentTas": "0","DescentRate": "0","LoiterBurn": "0","HoldingBurn": "0","TaxiBurn": "0"},</t>
  </si>
  <si>
    <t>"Altitude": "19000",</t>
  </si>
  <si>
    <t>"ClimbTas": "337",</t>
  </si>
  <si>
    <t>"ClimbBurn": "2402",</t>
  </si>
  <si>
    <t>"ClimbRate": "2643",</t>
  </si>
  <si>
    <t>"CruiseTas": "409",</t>
  </si>
  <si>
    <t>"CruiseBurn": "2310",</t>
  </si>
  <si>
    <t>{"Altitude": "19000","ClimbTas": "337","ClimbBurn": "2402","ClimbRate": "2643","CruiseTas": "409","CruiseBurn": "2310","PlanTas": "0","DescentBurn": "0","DescentTas": "0","DescentRate": "0","LoiterBurn": "0","HoldingBurn": "0","TaxiBurn": "0"},</t>
  </si>
  <si>
    <t>"Altitude": "17000",</t>
  </si>
  <si>
    <t>"ClimbTas": "327",</t>
  </si>
  <si>
    <t>"ClimbBurn": "2461",</t>
  </si>
  <si>
    <t>"ClimbRate": "2807",</t>
  </si>
  <si>
    <t>"CruiseTas": "398",</t>
  </si>
  <si>
    <t>"CruiseBurn": "2477",</t>
  </si>
  <si>
    <t>{"Altitude": "17000","ClimbTas": "327","ClimbBurn": "2461","ClimbRate": "2807","CruiseTas": "398","CruiseBurn": "2477","PlanTas": "0","DescentBurn": "0","DescentTas": "0","DescentRate": "0","LoiterBurn": "0","HoldingBurn": "0","TaxiBurn": "0"},</t>
  </si>
  <si>
    <t>"Altitude": "15000",</t>
  </si>
  <si>
    <t>"ClimbTas": "317",</t>
  </si>
  <si>
    <t>"ClimbBurn": "2522",</t>
  </si>
  <si>
    <t>"ClimbRate": "2960",</t>
  </si>
  <si>
    <t>"CruiseTas": "385",</t>
  </si>
  <si>
    <t>"CruiseBurn": "2650",</t>
  </si>
  <si>
    <t>{"Altitude": "15000","ClimbTas": "317","ClimbBurn": "2522","ClimbRate": "2960","CruiseTas": "385","CruiseBurn": "2650","PlanTas": "0","DescentBurn": "0","DescentTas": "0","DescentRate": "0","LoiterBurn": "0","HoldingBurn": "0","TaxiBurn": "0"},</t>
  </si>
  <si>
    <t>"Altitude": "13000",</t>
  </si>
  <si>
    <t>"ClimbTas": "307",</t>
  </si>
  <si>
    <t>"ClimbBurn": "2585",</t>
  </si>
  <si>
    <t>"ClimbRate": "3104",</t>
  </si>
  <si>
    <t>"CruiseTas": "371",</t>
  </si>
  <si>
    <t>"CruiseBurn": "2827",</t>
  </si>
  <si>
    <t>{"Altitude": "13000","ClimbTas": "307","ClimbBurn": "2585","ClimbRate": "3104","CruiseTas": "371","CruiseBurn": "2827","PlanTas": "0","DescentBurn": "0","DescentTas": "0","DescentRate": "0","LoiterBurn": "0","HoldingBurn": "0","TaxiBurn": "0"},</t>
  </si>
  <si>
    <t>"Altitude": "11000",</t>
  </si>
  <si>
    <t>"ClimbTas": "298",</t>
  </si>
  <si>
    <t>"ClimbBurn": "2650",</t>
  </si>
  <si>
    <t>"ClimbRate": "3239",</t>
  </si>
  <si>
    <t>"CruiseTas": "355",</t>
  </si>
  <si>
    <t>"CruiseBurn": "3008",</t>
  </si>
  <si>
    <t>{"Altitude": "11000","ClimbTas": "298","ClimbBurn": "2650","ClimbRate": "3239","CruiseTas": "355","CruiseBurn": "3008","PlanTas": "0","DescentBurn": "0","DescentTas": "0","DescentRate": "0","LoiterBurn": "0","HoldingBurn": "0","TaxiBurn": "0"},</t>
  </si>
  <si>
    <t>"Altitude": "9000",</t>
  </si>
  <si>
    <t>"ClimbTas": "289",</t>
  </si>
  <si>
    <t>"ClimbBurn": "2717",</t>
  </si>
  <si>
    <t>"ClimbRate": "3364",</t>
  </si>
  <si>
    <t>"CruiseTas": "337",</t>
  </si>
  <si>
    <t>"CruiseBurn": "3190",</t>
  </si>
  <si>
    <t>{"Altitude": "9000","ClimbTas": "289","ClimbBurn": "2717","ClimbRate": "3364","CruiseTas": "337","CruiseBurn": "3190","PlanTas": "0","DescentBurn": "0","DescentTas": "0","DescentRate": "0","LoiterBurn": "0","HoldingBurn": "0","TaxiBurn": "0"},</t>
  </si>
  <si>
    <t>"Altitude": "7000",</t>
  </si>
  <si>
    <t>"ClimbTas": "281",</t>
  </si>
  <si>
    <t>"ClimbBurn": "2786",</t>
  </si>
  <si>
    <t>"ClimbRate": "3479",</t>
  </si>
  <si>
    <t>"CruiseTas": "316",</t>
  </si>
  <si>
    <t>"CruiseBurn": "3373",</t>
  </si>
  <si>
    <t>{"Altitude": "7000","ClimbTas": "281","ClimbBurn": "2786","ClimbRate": "3479","CruiseTas": "316","CruiseBurn": "3373","PlanTas": "0","DescentBurn": "0","DescentTas": "0","DescentRate": "0","LoiterBurn": "0","HoldingBurn": "0","TaxiBurn": "0"},</t>
  </si>
  <si>
    <t>"Altitude": "5000",</t>
  </si>
  <si>
    <t>"ClimbTas": "273",</t>
  </si>
  <si>
    <t>"ClimbBurn": "2856",</t>
  </si>
  <si>
    <t>"ClimbRate": "3585",</t>
  </si>
  <si>
    <t>"CruiseTas": "294",</t>
  </si>
  <si>
    <t>"CruiseBurn": "3556",</t>
  </si>
  <si>
    <t>{"Altitude": "5000","ClimbTas": "273","ClimbBurn": "2856","ClimbRate": "3585","CruiseTas": "294","CruiseBurn": "3556","PlanTas": "0","DescentBurn": "0","DescentTas": "0","DescentRate": "0","LoiterBurn": "0","HoldingBurn": "0","TaxiBurn": "0"},</t>
  </si>
  <si>
    <t>"Altitude": "3000",</t>
  </si>
  <si>
    <t>"ClimbTas": "265",</t>
  </si>
  <si>
    <t>"ClimbBurn": "2929",</t>
  </si>
  <si>
    <t>"ClimbRate": "3681",</t>
  </si>
  <si>
    <t>"CruiseTas": "269",</t>
  </si>
  <si>
    <t>"CruiseBurn": "3736",</t>
  </si>
  <si>
    <t>{"Altitude": "3000","ClimbTas": "265","ClimbBurn": "2929","ClimbRate": "3681","CruiseTas": "269","CruiseBurn": "3736","PlanTas": "0","DescentBurn": "0","DescentTas": "0","DescentRate": "0","LoiterBurn": "0","HoldingBurn": "0","TaxiBurn": "0"},</t>
  </si>
  <si>
    <t>"Altitude": "1000",</t>
  </si>
  <si>
    <t>"ClimbTas": "257",</t>
  </si>
  <si>
    <t>"ClimbBurn": "3003",</t>
  </si>
  <si>
    <t>"ClimbRate": "3768",</t>
  </si>
  <si>
    <t>"CruiseTas": "242",</t>
  </si>
  <si>
    <t>"CruiseBurn": "3913",</t>
  </si>
  <si>
    <t>"TaxiBurn": "0"}]</t>
  </si>
  <si>
    <t>{"Altitude": "1000","ClimbTas": "257","ClimbBurn": "3003","ClimbRate": "3768","CruiseTas": "242","CruiseBurn": "3913","PlanTas": "0","DescentBurn": "0","DescentTas": "0","DescentRate": "0","LoiterBurn": "0","HoldingBurn": "0","TaxiBurn": "0"}]</t>
  </si>
  <si>
    <t>AircraftPerformance": [{"Altitude": "45000","ClimbTas": "352","ClimbBurn": "1800","ClimbRate": "1","CruiseTas": "404","CruiseBurn": "1285","PlanTas": "0","DescentBurn": "0","DescentTas": "0","DescentRate": "0","LoiterBurn": "0","HoldingBurn": "0","TaxiBurn": "0"},{"Altitude": "43000","ClimbTas": "352","ClimbBurn": "1835","ClimbRate": "1","CruiseTas": "407","CruiseBurn": "1254","PlanTas": "0","DescentBurn": "0","DescentTas": "0","DescentRate": "0","LoiterBurn": "0","HoldingBurn": "0","TaxiBurn": "0"},{"Altitude": "41000","ClimbTas": "352","ClimbBurn": "1872","ClimbRate": "1","CruiseTas": "410","CruiseBurn": "1246","PlanTas": "0","DescentBurn": "0","DescentTas": "0","DescentRate": "0","LoiterBurn": "0","HoldingBurn": "0","TaxiBurn": "0"},{"Altitude": "39000","ClimbTas": "352","ClimbBurn": "1911","ClimbRate": "419","CruiseTas": "412","CruiseBurn": "1260","PlanTas": "0","DescentBurn": "0","DescentTas": "0","DescentRate": "0","LoiterBurn": "0","HoldingBurn": "0","TaxiBurn": "0"},{"Altitude": "37000","ClimbTas": "352","ClimbBurn": "1952","ClimbRate": "640","CruiseTas": "414","CruiseBurn": "1294","PlanTas": "0","DescentBurn": "0","DescentTas": "0","DescentRate": "0","LoiterBurn": "0","HoldingBurn": "0","TaxiBurn": "0"},{"Altitude": "35000","ClimbTas": "353","ClimbBurn": "1994","ClimbRate": "854","CruiseTas": "414","CruiseBurn": "1348","PlanTas": "0","DescentBurn": "0","DescentTas": "0","DescentRate": "0","LoiterBurn": "0","HoldingBurn": "0","TaxiBurn": "0"},{"Altitude": "33000","ClimbTas": "359","ClimbBurn": "2038","ClimbRate": "1068","CruiseTas": "414","CruiseBurn": "1419","PlanTas": "0","DescentBurn": "0","DescentTas": "0","DescentRate": "0","LoiterBurn": "0","HoldingBurn": "0","TaxiBurn": "0"},{"Altitude": "31000","ClimbTas": "362","ClimbBurn": "2085","ClimbRate": "1299","CruiseTas": "413","CruiseBurn": "1508","PlanTas": "0","DescentBurn": "0","DescentTas": "0","DescentRate": "0","LoiterBurn": "0","HoldingBurn": "0","TaxiBurn": "0"},{"Altitude": "29000","ClimbTas": "365","ClimbBurn": "2133","ClimbRate": "1558","CruiseTas": "410","CruiseBurn": "1611","PlanTas": "0","DescentBurn": "0","DescentTas": "0","DescentRate": "0","LoiterBurn": "0","HoldingBurn": "0","TaxiBurn": "0"},{"Altitude": "27000","ClimbTas": "354","ClimbBurn": "2183","ClimbRate": "1752","CruiseTas": "407","CruiseBurn": "1728","PlanTas": "0","DescentBurn": "0","DescentTas": "0","DescentRate": "0","LoiterBurn": "0","HoldingBurn": "0","TaxiBurn": "0"},{"Altitude": "25000","ClimbTas": "342","ClimbBurn": "2235","ClimbRate": "1941","CruiseTas": "402","CruiseBurn": "1858","PlanTas": "0","DescentBurn": "0","DescentTas": "0","DescentRate": "0","LoiterBurn": "0","HoldingBurn": "0","TaxiBurn": "0"},{"Altitude": "23000","ClimbTas": "331","ClimbBurn": "2288","ClimbRate": "2112","CruiseTas": "396","CruiseBurn": "2000","PlanTas": "0","DescentBurn": "0","DescentTas": "0","DescentRate": "0","LoiterBurn": "0","HoldingBurn": "0","TaxiBurn": "0"},{"Altitude": "21000","ClimbTas": "321","ClimbBurn": "2344","ClimbRate": "2280","CruiseTas": "388","CruiseBurn": "2151","PlanTas": "0","DescentBurn": "0","DescentTas": "0","DescentRate": "0","LoiterBurn": "0","HoldingBurn": "0","TaxiBurn": "0"},{"Altitude": "19000","ClimbTas": "311","ClimbBurn": "2402","ClimbRate": "2438","CruiseTas": "379","CruiseBurn": "2310","PlanTas": "0","DescentBurn": "0","DescentTas": "0","DescentRate": "0","LoiterBurn": "0","HoldingBurn": "0","TaxiBurn": "0"},{"Altitude": "17000","ClimbTas": "301","ClimbBurn": "2461","ClimbRate": "2588","CruiseTas": "368","CruiseBurn": "2477","PlanTas": "0","DescentBurn": "0","DescentTas": "0","DescentRate": "0","LoiterBurn": "0","HoldingBurn": "0","TaxiBurn": "0"},{"Altitude": "15000","ClimbTas": "292","ClimbBurn": "2522","ClimbRate": "2728","CruiseTas": "355","CruiseBurn": "2650","PlanTas": "0","DescentBurn": "0","DescentTas": "0","DescentRate": "0","LoiterBurn": "0","HoldingBurn": "0","TaxiBurn": "0"},{"Altitude": "13000","ClimbTas": "283","ClimbBurn": "2585","ClimbRate": "2860","CruiseTas": "341","CruiseBurn": "2827","PlanTas": "0","DescentBurn": "0","DescentTas": "0","DescentRate": "0","LoiterBurn": "0","HoldingBurn": "0","TaxiBurn": "0"},{"Altitude": "11000","ClimbTas": "275","ClimbBurn": "2650","ClimbRate": "2984","CruiseTas": "325","CruiseBurn": "3008","PlanTas": "0","DescentBurn": "0","DescentTas": "0","DescentRate": "0","LoiterBurn": "0","HoldingBurn": "0","TaxiBurn": "0"},{"Altitude": "9000","ClimbTas": "266","ClimbBurn": "2717","ClimbRate": "3098","CruiseTas": "307","CruiseBurn": "3190","PlanTas": "0","DescentBurn": "0","DescentTas": "0","DescentRate": "0","LoiterBurn": "0","HoldingBurn": "0","TaxiBurn": "0"},{"Altitude": "7000","ClimbTas": "259","ClimbBurn": "2786","ClimbRate": "3203","CruiseTas": "286","CruiseBurn": "3373","PlanTas": "0","DescentBurn": "0","DescentTas": "0","DescentRate": "0","LoiterBurn": "0","HoldingBurn": "0","TaxiBurn": "0"},{"Altitude": "5000","ClimbTas": "251","ClimbBurn": "2856","ClimbRate": "3300","CruiseTas": "264","CruiseBurn": "3556","PlanTas": "0","DescentBurn": "0","DescentTas": "0","DescentRate": "0","LoiterBurn": "0","HoldingBurn": "0","TaxiBurn": "0"},{"Altitude": "3000","ClimbTas": "244","ClimbBurn": "2929","ClimbRate": "3384","CruiseTas": "239","CruiseBurn": "3736","PlanTas": "0","DescentBurn": "0","DescentTas": "0","DescentRate": "0","LoiterBurn": "0","HoldingBurn": "0","TaxiBurn": "0"},{"Altitude": "1000","ClimbTas": "237","ClimbBurn": "3003","ClimbRate": "3463","CruiseTas": "212","CruiseBurn": "3913","PlanTas": "0","DescentBurn": "0","DescentTas": "0","DescentRate": "0","LoiterBurn": "0","HoldingBurn": "0","TaxiBurn": "0"}]</t>
  </si>
  <si>
    <t>"ClimbTas": "352",</t>
  </si>
  <si>
    <t>"CruiseTas": "404",</t>
  </si>
  <si>
    <t>AircraftPerformance": [{"Altitude": "45000","ClimbTas": "352","ClimbBurn": "1800","ClimbRate": "1","CruiseTas": "404","CruiseBurn": "1285","PlanTas": "0","DescentBurn": "0","DescentTas": "0","DescentRate": "0","LoiterBurn": "0","HoldingBurn": "0","TaxiBurn": "0"},</t>
  </si>
  <si>
    <t>"CruiseTas": "407",</t>
  </si>
  <si>
    <t>{"Altitude": "43000","ClimbTas": "352","ClimbBurn": "1835","ClimbRate": "1","CruiseTas": "407","CruiseBurn": "1254","PlanTas": "0","DescentBurn": "0","DescentTas": "0","DescentRate": "0","LoiterBurn": "0","HoldingBurn": "0","TaxiBurn": "0"},</t>
  </si>
  <si>
    <t>"CruiseTas": "410",</t>
  </si>
  <si>
    <t>{"Altitude": "41000","ClimbTas": "352","ClimbBurn": "1872","ClimbRate": "1","CruiseTas": "410","CruiseBurn": "1246","PlanTas": "0","DescentBurn": "0","DescentTas": "0","DescentRate": "0","LoiterBurn": "0","HoldingBurn": "0","TaxiBurn": "0"},</t>
  </si>
  <si>
    <t>"ClimbRate": "419",</t>
  </si>
  <si>
    <t>"CruiseTas": "412",</t>
  </si>
  <si>
    <t>{"Altitude": "39000","ClimbTas": "352","ClimbBurn": "1911","ClimbRate": "419","CruiseTas": "412","CruiseBurn": "1260","PlanTas": "0","DescentBurn": "0","DescentTas": "0","DescentRate": "0","LoiterBurn": "0","HoldingBurn": "0","TaxiBurn": "0"},</t>
  </si>
  <si>
    <t>"ClimbRate": "640",</t>
  </si>
  <si>
    <t>"CruiseTas": "414",</t>
  </si>
  <si>
    <t>{"Altitude": "37000","ClimbTas": "352","ClimbBurn": "1952","ClimbRate": "640","CruiseTas": "414","CruiseBurn": "1294","PlanTas": "0","DescentBurn": "0","DescentTas": "0","DescentRate": "0","LoiterBurn": "0","HoldingBurn": "0","TaxiBurn": "0"},</t>
  </si>
  <si>
    <t>"ClimbTas": "353",</t>
  </si>
  <si>
    <t>"ClimbRate": "854",</t>
  </si>
  <si>
    <t>{"Altitude": "35000","ClimbTas": "353","ClimbBurn": "1994","ClimbRate": "854","CruiseTas": "414","CruiseBurn": "1348","PlanTas": "0","DescentBurn": "0","DescentTas": "0","DescentRate": "0","LoiterBurn": "0","HoldingBurn": "0","TaxiBurn": "0"},</t>
  </si>
  <si>
    <t>"ClimbRate": "1068",</t>
  </si>
  <si>
    <t>{"Altitude": "33000","ClimbTas": "359","ClimbBurn": "2038","ClimbRate": "1068","CruiseTas": "414","CruiseBurn": "1419","PlanTas": "0","DescentBurn": "0","DescentTas": "0","DescentRate": "0","LoiterBurn": "0","HoldingBurn": "0","TaxiBurn": "0"},</t>
  </si>
  <si>
    <t>"ClimbTas": "362",</t>
  </si>
  <si>
    <t>"ClimbRate": "1299",</t>
  </si>
  <si>
    <t>"CruiseTas": "413",</t>
  </si>
  <si>
    <t>{"Altitude": "31000","ClimbTas": "362","ClimbBurn": "2085","ClimbRate": "1299","CruiseTas": "413","CruiseBurn": "1508","PlanTas": "0","DescentBurn": "0","DescentTas": "0","DescentRate": "0","LoiterBurn": "0","HoldingBurn": "0","TaxiBurn": "0"},</t>
  </si>
  <si>
    <t>"ClimbTas": "365",</t>
  </si>
  <si>
    <t>"ClimbRate": "1558",</t>
  </si>
  <si>
    <t>{"Altitude": "29000","ClimbTas": "365","ClimbBurn": "2133","ClimbRate": "1558","CruiseTas": "410","CruiseBurn": "1611","PlanTas": "0","DescentBurn": "0","DescentTas": "0","DescentRate": "0","LoiterBurn": "0","HoldingBurn": "0","TaxiBurn": "0"},</t>
  </si>
  <si>
    <t>"ClimbTas": "354",</t>
  </si>
  <si>
    <t>"ClimbRate": "1752",</t>
  </si>
  <si>
    <t>{"Altitude": "27000","ClimbTas": "354","ClimbBurn": "2183","ClimbRate": "1752","CruiseTas": "407","CruiseBurn": "1728","PlanTas": "0","DescentBurn": "0","DescentTas": "0","DescentRate": "0","LoiterBurn": "0","HoldingBurn": "0","TaxiBurn": "0"},</t>
  </si>
  <si>
    <t>"ClimbTas": "342",</t>
  </si>
  <si>
    <t>"ClimbRate": "1941",</t>
  </si>
  <si>
    <t>"CruiseTas": "402",</t>
  </si>
  <si>
    <t>{"Altitude": "25000","ClimbTas": "342","ClimbBurn": "2235","ClimbRate": "1941","CruiseTas": "402","CruiseBurn": "1858","PlanTas": "0","DescentBurn": "0","DescentTas": "0","DescentRate": "0","LoiterBurn": "0","HoldingBurn": "0","TaxiBurn": "0"},</t>
  </si>
  <si>
    <t>"ClimbTas": "331",</t>
  </si>
  <si>
    <t>"ClimbRate": "2112",</t>
  </si>
  <si>
    <t>"CruiseTas": "396",</t>
  </si>
  <si>
    <t>{"Altitude": "23000","ClimbTas": "331","ClimbBurn": "2288","ClimbRate": "2112","CruiseTas": "396","CruiseBurn": "2000","PlanTas": "0","DescentBurn": "0","DescentTas": "0","DescentRate": "0","LoiterBurn": "0","HoldingBurn": "0","TaxiBurn": "0"},</t>
  </si>
  <si>
    <t>"ClimbTas": "321",</t>
  </si>
  <si>
    <t>"ClimbRate": "2280",</t>
  </si>
  <si>
    <t>"CruiseTas": "388",</t>
  </si>
  <si>
    <t>{"Altitude": "21000","ClimbTas": "321","ClimbBurn": "2344","ClimbRate": "2280","CruiseTas": "388","CruiseBurn": "2151","PlanTas": "0","DescentBurn": "0","DescentTas": "0","DescentRate": "0","LoiterBurn": "0","HoldingBurn": "0","TaxiBurn": "0"},</t>
  </si>
  <si>
    <t>"ClimbTas": "311",</t>
  </si>
  <si>
    <t>"ClimbRate": "2438",</t>
  </si>
  <si>
    <t>"CruiseTas": "379",</t>
  </si>
  <si>
    <t>{"Altitude": "19000","ClimbTas": "311","ClimbBurn": "2402","ClimbRate": "2438","CruiseTas": "379","CruiseBurn": "2310","PlanTas": "0","DescentBurn": "0","DescentTas": "0","DescentRate": "0","LoiterBurn": "0","HoldingBurn": "0","TaxiBurn": "0"},</t>
  </si>
  <si>
    <t>"ClimbTas": "301",</t>
  </si>
  <si>
    <t>"ClimbRate": "2588",</t>
  </si>
  <si>
    <t>"CruiseTas": "368",</t>
  </si>
  <si>
    <t>{"Altitude": "17000","ClimbTas": "301","ClimbBurn": "2461","ClimbRate": "2588","CruiseTas": "368","CruiseBurn": "2477","PlanTas": "0","DescentBurn": "0","DescentTas": "0","DescentRate": "0","LoiterBurn": "0","HoldingBurn": "0","TaxiBurn": "0"},</t>
  </si>
  <si>
    <t>"ClimbTas": "292",</t>
  </si>
  <si>
    <t>"ClimbRate": "2728",</t>
  </si>
  <si>
    <t>{"Altitude": "15000","ClimbTas": "292","ClimbBurn": "2522","ClimbRate": "2728","CruiseTas": "355","CruiseBurn": "2650","PlanTas": "0","DescentBurn": "0","DescentTas": "0","DescentRate": "0","LoiterBurn": "0","HoldingBurn": "0","TaxiBurn": "0"},</t>
  </si>
  <si>
    <t>"ClimbTas": "283",</t>
  </si>
  <si>
    <t>"ClimbRate": "2860",</t>
  </si>
  <si>
    <t>"CruiseTas": "341",</t>
  </si>
  <si>
    <t>{"Altitude": "13000","ClimbTas": "283","ClimbBurn": "2585","ClimbRate": "2860","CruiseTas": "341","CruiseBurn": "2827","PlanTas": "0","DescentBurn": "0","DescentTas": "0","DescentRate": "0","LoiterBurn": "0","HoldingBurn": "0","TaxiBurn": "0"},</t>
  </si>
  <si>
    <t>"ClimbTas": "275",</t>
  </si>
  <si>
    <t>"ClimbRate": "2984",</t>
  </si>
  <si>
    <t>"CruiseTas": "325",</t>
  </si>
  <si>
    <t>{"Altitude": "11000","ClimbTas": "275","ClimbBurn": "2650","ClimbRate": "2984","CruiseTas": "325","CruiseBurn": "3008","PlanTas": "0","DescentBurn": "0","DescentTas": "0","DescentRate": "0","LoiterBurn": "0","HoldingBurn": "0","TaxiBurn": "0"},</t>
  </si>
  <si>
    <t>"ClimbTas": "266",</t>
  </si>
  <si>
    <t>"ClimbRate": "3098",</t>
  </si>
  <si>
    <t>"CruiseTas": "307",</t>
  </si>
  <si>
    <t>{"Altitude": "9000","ClimbTas": "266","ClimbBurn": "2717","ClimbRate": "3098","CruiseTas": "307","CruiseBurn": "3190","PlanTas": "0","DescentBurn": "0","DescentTas": "0","DescentRate": "0","LoiterBurn": "0","HoldingBurn": "0","TaxiBurn": "0"},</t>
  </si>
  <si>
    <t>"ClimbTas": "259",</t>
  </si>
  <si>
    <t>"ClimbRate": "3203",</t>
  </si>
  <si>
    <t>"CruiseTas": "286",</t>
  </si>
  <si>
    <t>{"Altitude": "7000","ClimbTas": "259","ClimbBurn": "2786","ClimbRate": "3203","CruiseTas": "286","CruiseBurn": "3373","PlanTas": "0","DescentBurn": "0","DescentTas": "0","DescentRate": "0","LoiterBurn": "0","HoldingBurn": "0","TaxiBurn": "0"},</t>
  </si>
  <si>
    <t>"ClimbTas": "251",</t>
  </si>
  <si>
    <t>"ClimbRate": "3300",</t>
  </si>
  <si>
    <t>"CruiseTas": "264",</t>
  </si>
  <si>
    <t>{"Altitude": "5000","ClimbTas": "251","ClimbBurn": "2856","ClimbRate": "3300","CruiseTas": "264","CruiseBurn": "3556","PlanTas": "0","DescentBurn": "0","DescentTas": "0","DescentRate": "0","LoiterBurn": "0","HoldingBurn": "0","TaxiBurn": "0"},</t>
  </si>
  <si>
    <t>"ClimbTas": "244",</t>
  </si>
  <si>
    <t>"ClimbRate": "3384",</t>
  </si>
  <si>
    <t>"CruiseTas": "239",</t>
  </si>
  <si>
    <t>{"Altitude": "3000","ClimbTas": "244","ClimbBurn": "2929","ClimbRate": "3384","CruiseTas": "239","CruiseBurn": "3736","PlanTas": "0","DescentBurn": "0","DescentTas": "0","DescentRate": "0","LoiterBurn": "0","HoldingBurn": "0","TaxiBurn": "0"},</t>
  </si>
  <si>
    <t>"ClimbTas": "237",</t>
  </si>
  <si>
    <t>"ClimbRate": "3463",</t>
  </si>
  <si>
    <t>"CruiseTas": "212",</t>
  </si>
  <si>
    <t>{"Altitude": "1000","ClimbTas": "237","ClimbBurn": "3003","ClimbRate": "3463","CruiseTas": "212","CruiseBurn": "3913","PlanTas": "0","DescentBurn": "0","DescentTas": "0","DescentRate": "0","LoiterBurn": "0","HoldingBurn": "0","TaxiBurn": "0"}]</t>
  </si>
  <si>
    <t>AircraftPerformance": [{"Altitude": "45000","ClimbTas": "410","ClimbBurn": "960","ClimbRate": "332","CruiseTas": "434","CruiseBurn": "1030","PlanTas": "0","DescentBurn": "0","DescentTas": "0","DescentRate": "0","LoiterBurn": "0","HoldingBurn": "0","TaxiBurn": "0"},{"Altitude": "43000","ClimbTas": "410","ClimbBurn": "1042","ClimbRate": "542","CruiseTas": "437","CruiseBurn": "1036","PlanTas": "0","DescentBurn": "0","DescentTas": "0","DescentRate": "0","LoiterBurn": "0","HoldingBurn": "0","TaxiBurn": "0"},{"Altitude": "41000","ClimbTas": "410","ClimbBurn": "1126","ClimbRate": "749","CruiseTas": "440","CruiseBurn": "1062","PlanTas": "0","DescentBurn": "0","DescentTas": "0","DescentRate": "0","LoiterBurn": "0","HoldingBurn": "0","TaxiBurn": "0"},{"Altitude": "39000","ClimbTas": "410","ClimbBurn": "1212","ClimbRate": "955","CruiseTas": "442","CruiseBurn": "1106","PlanTas": "0","DescentBurn": "0","DescentTas": "0","DescentRate": "0","LoiterBurn": "0","HoldingBurn": "0","TaxiBurn": "0"},{"Altitude": "37000","ClimbTas": "410","ClimbBurn": "1300","ClimbRate": "1159","CruiseTas": "444","CruiseBurn": "1170","PlanTas": "0","DescentBurn": "0","DescentTas": "0","DescentRate": "0","LoiterBurn": "0","HoldingBurn": "0","TaxiBurn": "0"},{"Altitude": "35000","ClimbTas": "412","ClimbBurn": "1390","ClimbRate": "1362","CruiseTas": "444","CruiseBurn": "1249","PlanTas": "0","DescentBurn": "0","DescentTas": "0","DescentRate": "0","LoiterBurn": "0","HoldingBurn": "0","TaxiBurn": "0"},{"Altitude": "33000","ClimbTas": "416","ClimbBurn": "1482","ClimbRate": "1562","CruiseTas": "444","CruiseBurn": "1345","PlanTas": "0","DescentBurn": "0","DescentTas": "0","DescentRate": "0","LoiterBurn": "0","HoldingBurn": "0","TaxiBurn": "0"},{"Altitude": "31000","ClimbTas": "408","ClimbBurn": "1575","ClimbRate": "1760","CruiseTas": "443","CruiseBurn": "1455","PlanTas": "0","DescentBurn": "0","DescentTas": "0","DescentRate": "0","LoiterBurn": "0","HoldingBurn": "0","TaxiBurn": "0"},{"Altitude": "29000","ClimbTas": "395","ClimbBurn": "1671","ClimbRate": "1957","CruiseTas": "440","CruiseBurn": "1579","PlanTas": "0","DescentBurn": "0","DescentTas": "0","DescentRate": "0","LoiterBurn": "0","HoldingBurn": "0","TaxiBurn": "0"},{"Altitude": "27000","ClimbTas": "383","ClimbBurn": "1769","ClimbRate": "2152","CruiseTas": "437","CruiseBurn": "1714","PlanTas": "0","DescentBurn": "0","DescentTas": "0","DescentRate": "0","LoiterBurn": "0","HoldingBurn": "0","TaxiBurn": "0"},{"Altitude": "25000","ClimbTas": "370","ClimbBurn": "1869","ClimbRate": "2345","CruiseTas": "432","CruiseBurn": "1860","PlanTas": "0","DescentBurn": "0","DescentTas": "0","DescentRate": "0","LoiterBurn": "0","HoldingBurn": "0","TaxiBurn": "0"},{"Altitude": "23000","ClimbTas": "359","ClimbBurn": "1970","ClimbRate": "2536","CruiseTas": "426","CruiseBurn": "2016","PlanTas": "0","DescentBurn": "0","DescentTas": "0","DescentRate": "0","LoiterBurn": "0","HoldingBurn": "0","TaxiBurn": "0"},{"Altitude": "21000","ClimbTas": "348","ClimbBurn": "2074","ClimbRate": "2725","CruiseTas": "418","CruiseBurn": "2179","PlanTas": "0","DescentBurn": "0","DescentTas": "0","DescentRate": "0","LoiterBurn": "0","HoldingBurn": "0","TaxiBurn": "0"},{"Altitude": "19000","ClimbTas": "337","ClimbBurn": "2179","ClimbRate": "2912","CruiseTas": "409","CruiseBurn": "2349","PlanTas": "0","DescentBurn": "0","DescentTas": "0","DescentRate": "0","LoiterBurn": "0","HoldingBurn": "0","TaxiBurn": "0"},{"Altitude": "17000","ClimbTas": "327","ClimbBurn": "2287","ClimbRate": "3098","CruiseTas": "398","CruiseBurn": "2524","PlanTas": "0","DescentBurn": "0","DescentTas": "0","DescentRate": "0","LoiterBurn": "0","HoldingBurn": "0","TaxiBurn": "0"},{"Altitude": "15000","ClimbTas": "317","ClimbBurn": "2397","ClimbRate": "3281","CruiseTas": "385","CruiseBurn": "2702","PlanTas": "0","DescentBurn": "0","DescentTas": "0","DescentRate": "0","LoiterBurn": "0","HoldingBurn": "0","TaxiBurn": "0"},{"Altitude": "13000","ClimbTas": "307","ClimbBurn": "2508","ClimbRate": "3463","CruiseTas": "371","CruiseBurn": "2883","PlanTas": "0","DescentBurn": "0","DescentTas": "0","DescentRate": "0","LoiterBurn": "0","HoldingBurn": "0","TaxiBurn": "0"},{"Altitude": "11000","ClimbTas": "298","ClimbBurn": "2622","ClimbRate": "3643","CruiseTas": "355","CruiseBurn": "3064","PlanTas": "0","DescentBurn": "0","DescentTas": "0","DescentRate": "0","LoiterBurn": "0","HoldingBurn": "0","TaxiBurn": "0"},{"Altitude": "9000","ClimbTas": "289","ClimbBurn": "2737","ClimbRate": "3821","CruiseTas": "337","CruiseBurn": "3244","PlanTas": "0","DescentBurn": "0","DescentTas": "0","DescentRate": "0","LoiterBurn": "0","HoldingBurn": "0","TaxiBurn": "0"},{"Altitude": "7000","ClimbTas": "281","ClimbBurn": "2855","ClimbRate": "3997","CruiseTas": "316","CruiseBurn": "3422","PlanTas": "0","DescentBurn": "0","DescentTas": "0","DescentRate": "0","LoiterBurn": "0","HoldingBurn": "0","TaxiBurn": "0"},{"Altitude": "5000","ClimbTas": "273","ClimbBurn": "2974","ClimbRate": "4172","CruiseTas": "294","CruiseBurn": "3595","PlanTas": "0","DescentBurn": "0","DescentTas": "0","DescentRate": "0","LoiterBurn": "0","HoldingBurn": "0","TaxiBurn": "0"},{"Altitude": "3000","ClimbTas": "265","ClimbBurn": "3095","ClimbRate": "4344","CruiseTas": "269","CruiseBurn": "3763","PlanTas": "0","DescentBurn": "0","DescentTas": "0","DescentRate": "0","LoiterBurn": "0","HoldingBurn": "0","TaxiBurn": "0"},{"Altitude": "1000","ClimbTas": "257","ClimbBurn": "3219","ClimbRate": "4515","CruiseTas": "242","CruiseBurn": "3923","PlanTas": "0","DescentBurn": "0","DescentTas": "0","DescentRate": "0","LoiterBurn": "0","HoldingBurn": "0","TaxiBurn": "0"}]</t>
  </si>
  <si>
    <t>"ClimbBurn": "960",</t>
  </si>
  <si>
    <t>"ClimbRate": "332",</t>
  </si>
  <si>
    <t>"CruiseBurn": "1030",</t>
  </si>
  <si>
    <t>AircraftPerformance": [{"Altitude": "45000","ClimbTas": "410","ClimbBurn": "960","ClimbRate": "332","CruiseTas": "434","CruiseBurn": "1030","PlanTas": "0","DescentBurn": "0","DescentTas": "0","DescentRate": "0","LoiterBurn": "0","HoldingBurn": "0","TaxiBurn": "0"},</t>
  </si>
  <si>
    <t>"ClimbBurn": "1042",</t>
  </si>
  <si>
    <t>"ClimbRate": "542",</t>
  </si>
  <si>
    <t>"CruiseBurn": "1036",</t>
  </si>
  <si>
    <t>{"Altitude": "43000","ClimbTas": "410","ClimbBurn": "1042","ClimbRate": "542","CruiseTas": "437","CruiseBurn": "1036","PlanTas": "0","DescentBurn": "0","DescentTas": "0","DescentRate": "0","LoiterBurn": "0","HoldingBurn": "0","TaxiBurn": "0"},</t>
  </si>
  <si>
    <t>"ClimbBurn": "1126",</t>
  </si>
  <si>
    <t>"ClimbRate": "749",</t>
  </si>
  <si>
    <t>"CruiseBurn": "1062",</t>
  </si>
  <si>
    <t>{"Altitude": "41000","ClimbTas": "410","ClimbBurn": "1126","ClimbRate": "749","CruiseTas": "440","CruiseBurn": "1062","PlanTas": "0","DescentBurn": "0","DescentTas": "0","DescentRate": "0","LoiterBurn": "0","HoldingBurn": "0","TaxiBurn": "0"},</t>
  </si>
  <si>
    <t>"ClimbBurn": "1212",</t>
  </si>
  <si>
    <t>"ClimbRate": "955",</t>
  </si>
  <si>
    <t>"CruiseBurn": "1106",</t>
  </si>
  <si>
    <t>{"Altitude": "39000","ClimbTas": "410","ClimbBurn": "1212","ClimbRate": "955","CruiseTas": "442","CruiseBurn": "1106","PlanTas": "0","DescentBurn": "0","DescentTas": "0","DescentRate": "0","LoiterBurn": "0","HoldingBurn": "0","TaxiBurn": "0"},</t>
  </si>
  <si>
    <t>"ClimbBurn": "1300",</t>
  </si>
  <si>
    <t>"ClimbRate": "1159",</t>
  </si>
  <si>
    <t>"CruiseBurn": "1170",</t>
  </si>
  <si>
    <t>{"Altitude": "37000","ClimbTas": "410","ClimbBurn": "1300","ClimbRate": "1159","CruiseTas": "444","CruiseBurn": "1170","PlanTas": "0","DescentBurn": "0","DescentTas": "0","DescentRate": "0","LoiterBurn": "0","HoldingBurn": "0","TaxiBurn": "0"},</t>
  </si>
  <si>
    <t>"ClimbBurn": "1390",</t>
  </si>
  <si>
    <t>"ClimbRate": "1362",</t>
  </si>
  <si>
    <t>"CruiseBurn": "1249",</t>
  </si>
  <si>
    <t>{"Altitude": "35000","ClimbTas": "412","ClimbBurn": "1390","ClimbRate": "1362","CruiseTas": "444","CruiseBurn": "1249","PlanTas": "0","DescentBurn": "0","DescentTas": "0","DescentRate": "0","LoiterBurn": "0","HoldingBurn": "0","TaxiBurn": "0"},</t>
  </si>
  <si>
    <t>"ClimbBurn": "1482",</t>
  </si>
  <si>
    <t>"ClimbRate": "1562",</t>
  </si>
  <si>
    <t>"CruiseBurn": "1345",</t>
  </si>
  <si>
    <t>{"Altitude": "33000","ClimbTas": "416","ClimbBurn": "1482","ClimbRate": "1562","CruiseTas": "444","CruiseBurn": "1345","PlanTas": "0","DescentBurn": "0","DescentTas": "0","DescentRate": "0","LoiterBurn": "0","HoldingBurn": "0","TaxiBurn": "0"},</t>
  </si>
  <si>
    <t>"ClimbBurn": "1575",</t>
  </si>
  <si>
    <t>"ClimbRate": "1760",</t>
  </si>
  <si>
    <t>"CruiseBurn": "1455",</t>
  </si>
  <si>
    <t>{"Altitude": "31000","ClimbTas": "408","ClimbBurn": "1575","ClimbRate": "1760","CruiseTas": "443","CruiseBurn": "1455","PlanTas": "0","DescentBurn": "0","DescentTas": "0","DescentRate": "0","LoiterBurn": "0","HoldingBurn": "0","TaxiBurn": "0"},</t>
  </si>
  <si>
    <t>"ClimbBurn": "1671",</t>
  </si>
  <si>
    <t>"ClimbRate": "1957",</t>
  </si>
  <si>
    <t>"CruiseBurn": "1579",</t>
  </si>
  <si>
    <t>{"Altitude": "29000","ClimbTas": "395","ClimbBurn": "1671","ClimbRate": "1957","CruiseTas": "440","CruiseBurn": "1579","PlanTas": "0","DescentBurn": "0","DescentTas": "0","DescentRate": "0","LoiterBurn": "0","HoldingBurn": "0","TaxiBurn": "0"},</t>
  </si>
  <si>
    <t>"ClimbBurn": "1769",</t>
  </si>
  <si>
    <t>"ClimbRate": "2152",</t>
  </si>
  <si>
    <t>"CruiseBurn": "1714",</t>
  </si>
  <si>
    <t>{"Altitude": "27000","ClimbTas": "383","ClimbBurn": "1769","ClimbRate": "2152","CruiseTas": "437","CruiseBurn": "1714","PlanTas": "0","DescentBurn": "0","DescentTas": "0","DescentRate": "0","LoiterBurn": "0","HoldingBurn": "0","TaxiBurn": "0"},</t>
  </si>
  <si>
    <t>"ClimbBurn": "1869",</t>
  </si>
  <si>
    <t>"ClimbRate": "2345",</t>
  </si>
  <si>
    <t>"CruiseBurn": "1860",</t>
  </si>
  <si>
    <t>{"Altitude": "25000","ClimbTas": "370","ClimbBurn": "1869","ClimbRate": "2345","CruiseTas": "432","CruiseBurn": "1860","PlanTas": "0","DescentBurn": "0","DescentTas": "0","DescentRate": "0","LoiterBurn": "0","HoldingBurn": "0","TaxiBurn": "0"},</t>
  </si>
  <si>
    <t>"ClimbBurn": "1970",</t>
  </si>
  <si>
    <t>"ClimbRate": "2536",</t>
  </si>
  <si>
    <t>"CruiseBurn": "2016",</t>
  </si>
  <si>
    <t>{"Altitude": "23000","ClimbTas": "359","ClimbBurn": "1970","ClimbRate": "2536","CruiseTas": "426","CruiseBurn": "2016","PlanTas": "0","DescentBurn": "0","DescentTas": "0","DescentRate": "0","LoiterBurn": "0","HoldingBurn": "0","TaxiBurn": "0"},</t>
  </si>
  <si>
    <t>"ClimbBurn": "2074",</t>
  </si>
  <si>
    <t>"ClimbRate": "2725",</t>
  </si>
  <si>
    <t>"CruiseBurn": "2179",</t>
  </si>
  <si>
    <t>{"Altitude": "21000","ClimbTas": "348","ClimbBurn": "2074","ClimbRate": "2725","CruiseTas": "418","CruiseBurn": "2179","PlanTas": "0","DescentBurn": "0","DescentTas": "0","DescentRate": "0","LoiterBurn": "0","HoldingBurn": "0","TaxiBurn": "0"},</t>
  </si>
  <si>
    <t>"ClimbBurn": "2179",</t>
  </si>
  <si>
    <t>"ClimbRate": "2912",</t>
  </si>
  <si>
    <t>"CruiseBurn": "2349",</t>
  </si>
  <si>
    <t>{"Altitude": "19000","ClimbTas": "337","ClimbBurn": "2179","ClimbRate": "2912","CruiseTas": "409","CruiseBurn": "2349","PlanTas": "0","DescentBurn": "0","DescentTas": "0","DescentRate": "0","LoiterBurn": "0","HoldingBurn": "0","TaxiBurn": "0"},</t>
  </si>
  <si>
    <t>"ClimbBurn": "2287",</t>
  </si>
  <si>
    <t>"CruiseBurn": "2524",</t>
  </si>
  <si>
    <t>{"Altitude": "17000","ClimbTas": "327","ClimbBurn": "2287","ClimbRate": "3098","CruiseTas": "398","CruiseBurn": "2524","PlanTas": "0","DescentBurn": "0","DescentTas": "0","DescentRate": "0","LoiterBurn": "0","HoldingBurn": "0","TaxiBurn": "0"},</t>
  </si>
  <si>
    <t>"ClimbBurn": "2397",</t>
  </si>
  <si>
    <t>"ClimbRate": "3281",</t>
  </si>
  <si>
    <t>"CruiseBurn": "2702",</t>
  </si>
  <si>
    <t>{"Altitude": "15000","ClimbTas": "317","ClimbBurn": "2397","ClimbRate": "3281","CruiseTas": "385","CruiseBurn": "2702","PlanTas": "0","DescentBurn": "0","DescentTas": "0","DescentRate": "0","LoiterBurn": "0","HoldingBurn": "0","TaxiBurn": "0"},</t>
  </si>
  <si>
    <t>"ClimbBurn": "2508",</t>
  </si>
  <si>
    <t>"CruiseBurn": "2883",</t>
  </si>
  <si>
    <t>{"Altitude": "13000","ClimbTas": "307","ClimbBurn": "2508","ClimbRate": "3463","CruiseTas": "371","CruiseBurn": "2883","PlanTas": "0","DescentBurn": "0","DescentTas": "0","DescentRate": "0","LoiterBurn": "0","HoldingBurn": "0","TaxiBurn": "0"},</t>
  </si>
  <si>
    <t>"ClimbBurn": "2622",</t>
  </si>
  <si>
    <t>"ClimbRate": "3643",</t>
  </si>
  <si>
    <t>"CruiseBurn": "3064",</t>
  </si>
  <si>
    <t>{"Altitude": "11000","ClimbTas": "298","ClimbBurn": "2622","ClimbRate": "3643","CruiseTas": "355","CruiseBurn": "3064","PlanTas": "0","DescentBurn": "0","DescentTas": "0","DescentRate": "0","LoiterBurn": "0","HoldingBurn": "0","TaxiBurn": "0"},</t>
  </si>
  <si>
    <t>"ClimbBurn": "2737",</t>
  </si>
  <si>
    <t>"ClimbRate": "3821",</t>
  </si>
  <si>
    <t>"CruiseBurn": "3244",</t>
  </si>
  <si>
    <t>{"Altitude": "9000","ClimbTas": "289","ClimbBurn": "2737","ClimbRate": "3821","CruiseTas": "337","CruiseBurn": "3244","PlanTas": "0","DescentBurn": "0","DescentTas": "0","DescentRate": "0","LoiterBurn": "0","HoldingBurn": "0","TaxiBurn": "0"},</t>
  </si>
  <si>
    <t>"ClimbBurn": "2855",</t>
  </si>
  <si>
    <t>"ClimbRate": "3997",</t>
  </si>
  <si>
    <t>"CruiseBurn": "3422",</t>
  </si>
  <si>
    <t>{"Altitude": "7000","ClimbTas": "281","ClimbBurn": "2855","ClimbRate": "3997","CruiseTas": "316","CruiseBurn": "3422","PlanTas": "0","DescentBurn": "0","DescentTas": "0","DescentRate": "0","LoiterBurn": "0","HoldingBurn": "0","TaxiBurn": "0"},</t>
  </si>
  <si>
    <t>"ClimbBurn": "2974",</t>
  </si>
  <si>
    <t>"ClimbRate": "4172",</t>
  </si>
  <si>
    <t>"CruiseBurn": "3595",</t>
  </si>
  <si>
    <t>{"Altitude": "5000","ClimbTas": "273","ClimbBurn": "2974","ClimbRate": "4172","CruiseTas": "294","CruiseBurn": "3595","PlanTas": "0","DescentBurn": "0","DescentTas": "0","DescentRate": "0","LoiterBurn": "0","HoldingBurn": "0","TaxiBurn": "0"},</t>
  </si>
  <si>
    <t>"ClimbBurn": "3095",</t>
  </si>
  <si>
    <t>"ClimbRate": "4344",</t>
  </si>
  <si>
    <t>"CruiseBurn": "3763",</t>
  </si>
  <si>
    <t>{"Altitude": "3000","ClimbTas": "265","ClimbBurn": "3095","ClimbRate": "4344","CruiseTas": "269","CruiseBurn": "3763","PlanTas": "0","DescentBurn": "0","DescentTas": "0","DescentRate": "0","LoiterBurn": "0","HoldingBurn": "0","TaxiBurn": "0"},</t>
  </si>
  <si>
    <t>"ClimbBurn": "3219",</t>
  </si>
  <si>
    <t>"ClimbRate": "4515",</t>
  </si>
  <si>
    <t>"CruiseBurn": "3923",</t>
  </si>
  <si>
    <t>{"Altitude": "1000","ClimbTas": "257","ClimbBurn": "3219","ClimbRate": "4515","CruiseTas": "242","CruiseBurn": "3923","PlanTas": "0","DescentBurn": "0","DescentTas": "0","DescentRate": "0","LoiterBurn": "0","HoldingBurn": "0","TaxiBurn": "0"}]</t>
  </si>
  <si>
    <t>AircraftPerformance": [{"Altitude": "45000","ClimbTas": "410","ClimbBurn": "1412","ClimbRate": "203","CruiseTas": "434","CruiseBurn": "1262","PlanTas": "0","DescentBurn": "0","DescentTas": "0","DescentRate": "0","LoiterBurn": "0","HoldingBurn": "0","TaxiBurn": "0"},{"Altitude": "43000","ClimbTas": "410","ClimbBurn": "1473","ClimbRate": "462","CruiseTas": "437","CruiseBurn": "1263","PlanTas": "0","DescentBurn": "0","DescentTas": "0","DescentRate": "0","LoiterBurn": "0","HoldingBurn": "0","TaxiBurn": "0"},{"Altitude": "41000","ClimbTas": "410","ClimbBurn": "1538","ClimbRate": "716","CruiseTas": "440","CruiseBurn": "1279","PlanTas": "0","DescentBurn": "0","DescentTas": "0","DescentRate": "0","LoiterBurn": "0","HoldingBurn": "0","TaxiBurn": "0"},{"Altitude": "39000","ClimbTas": "410","ClimbBurn": "1606","ClimbRate": "964","CruiseTas": "442","CruiseBurn": "1311","PlanTas": "0","DescentBurn": "0","DescentTas": "0","DescentRate": "0","LoiterBurn": "0","HoldingBurn": "0","TaxiBurn": "0"},{"Altitude": "37000","ClimbTas": "410","ClimbBurn": "1678","ClimbRate": "1205","CruiseTas": "444","CruiseBurn": "1357","PlanTas": "0","DescentBurn": "0","DescentTas": "0","DescentRate": "0","LoiterBurn": "0","HoldingBurn": "0","TaxiBurn": "0"},{"Altitude": "35000","ClimbTas": "412","ClimbBurn": "1754","ClimbRate": "1440","CruiseTas": "444","CruiseBurn": "1420","PlanTas": "0","DescentBurn": "0","DescentTas": "0","DescentRate": "0","LoiterBurn": "0","HoldingBurn": "0","TaxiBurn": "0"},{"Altitude": "33000","ClimbTas": "416","ClimbBurn": "1833","ClimbRate": "1668","CruiseTas": "444","CruiseBurn": "1497","PlanTas": "0","DescentBurn": "0","DescentTas": "0","DescentRate": "0","LoiterBurn": "0","HoldingBurn": "0","TaxiBurn": "0"},{"Altitude": "31000","ClimbTas": "408","ClimbBurn": "1916","ClimbRate": "1891","CruiseTas": "443","CruiseBurn": "1590","PlanTas": "0","DescentBurn": "0","DescentTas": "0","DescentRate": "0","LoiterBurn": "0","HoldingBurn": "0","TaxiBurn": "0"},{"Altitude": "29000","ClimbTas": "395","ClimbBurn": "2002","ClimbRate": "2107","CruiseTas": "440","CruiseBurn": "1699","PlanTas": "0","DescentBurn": "0","DescentTas": "0","DescentRate": "0","LoiterBurn": "0","HoldingBurn": "0","TaxiBurn": "0"},{"Altitude": "27000","ClimbTas": "383","ClimbBurn": "2093","ClimbRate": "2316","CruiseTas": "437","CruiseBurn": "1822","PlanTas": "0","DescentBurn": "0","DescentTas": "0","DescentRate": "0","LoiterBurn": "0","HoldingBurn": "0","TaxiBurn": "0"},{"Altitude": "25000","ClimbTas": "370","ClimbBurn": "2186","ClimbRate": "2520","CruiseTas": "432","CruiseBurn": "1961","PlanTas": "0","DescentBurn": "0","DescentTas": "0","DescentRate": "0","LoiterBurn": "0","HoldingBurn": "0","TaxiBurn": "0"},{"Altitude": "23000","ClimbTas": "359","ClimbBurn": "2284","ClimbRate": "2717","CruiseTas": "426","CruiseBurn": "2116","PlanTas": "0","DescentBurn": "0","DescentTas": "0","DescentRate": "0","LoiterBurn": "0","HoldingBurn": "0","TaxiBurn": "0"},{"Altitude": "21000","ClimbTas": "348","ClimbBurn": "2384","ClimbRate": "2908","CruiseTas": "418","CruiseBurn": "2286","PlanTas": "0","DescentBurn": "0","DescentTas": "0","DescentRate": "0","LoiterBurn": "0","HoldingBurn": "0","TaxiBurn": "0"},{"Altitude": "19000","ClimbTas": "337","ClimbBurn": "2489","ClimbRate": "3093","CruiseTas": "409","CruiseBurn": "2471","PlanTas": "0","DescentBurn": "0","DescentTas": "0","DescentRate": "0","LoiterBurn": "0","HoldingBurn": "0","TaxiBurn": "0"},{"Altitude": "17000","ClimbTas": "327","ClimbBurn": "2597","ClimbRate": "3272","CruiseTas": "398","CruiseBurn": "2672","PlanTas": "0","DescentBurn": "0","DescentTas": "0","DescentRate": "0","LoiterBurn": "0","HoldingBurn": "0","TaxiBurn": "0"},{"Altitude": "15000","ClimbTas": "317","ClimbBurn": "2709","ClimbRate": "3444","CruiseTas": "385","CruiseBurn": "2888","PlanTas": "0","DescentBurn": "0","DescentTas": "0","DescentRate": "0","LoiterBurn": "0","HoldingBurn": "0","TaxiBurn": "0"},{"Altitude": "13000","ClimbTas": "307","ClimbBurn": "2824","ClimbRate": "3610","CruiseTas": "371","CruiseBurn": "3120","PlanTas": "0","DescentBurn": "0","DescentTas": "0","DescentRate": "0","LoiterBurn": "0","HoldingBurn": "0","TaxiBurn": "0"},{"Altitude": "11000","ClimbTas": "298","ClimbBurn": "2943","ClimbRate": "3770","CruiseTas": "355","CruiseBurn": "3367","PlanTas": "0","DescentBurn": "0","DescentTas": "0","DescentRate": "0","LoiterBurn": "0","HoldingBurn": "0","TaxiBurn": "0"},{"Altitude": "9000","ClimbTas": "289","ClimbBurn": "3066","ClimbRate": "3923","CruiseTas": "337","CruiseBurn": "3629","PlanTas": "0","DescentBurn": "0","DescentTas": "0","DescentRate": "0","LoiterBurn": "0","HoldingBurn": "0","TaxiBurn": "0"},{"Altitude": "7000","ClimbTas": "281","ClimbBurn": "3192","ClimbRate": "4071","CruiseTas": "316","CruiseBurn": "3906","PlanTas": "0","DescentBurn": "0","DescentTas": "0","DescentRate": "0","LoiterBurn": "0","HoldingBurn": "0","TaxiBurn": "0"},{"Altitude": "5000","ClimbTas": "273","ClimbBurn": "3322","ClimbRate": "4212","CruiseTas": "294","CruiseBurn": "4200","PlanTas": "0","DescentBurn": "0","DescentTas": "0","DescentRate": "0","LoiterBurn": "0","HoldingBurn": "0","TaxiBurn": "0"},{"Altitude": "3000","ClimbTas": "265","ClimbBurn": "3455","ClimbRate": "4347","CruiseTas": "269","CruiseBurn": "4508","PlanTas": "0","DescentBurn": "0","DescentTas": "0","DescentRate": "0","LoiterBurn": "0","HoldingBurn": "0","TaxiBurn": "0"},{"Altitude": "1000","ClimbTas": "257","ClimbBurn": "3592","ClimbRate": "4475","CruiseTas": "242","CruiseBurn": "4832","PlanTas": "0","DescentBurn": "0","DescentTas": "0","DescentRate": "0","LoiterBurn": "0","HoldingBurn": "0","TaxiBurn": "0"}]</t>
  </si>
  <si>
    <t>"ClimbBurn": "1412",</t>
  </si>
  <si>
    <t>"ClimbRate": "203",</t>
  </si>
  <si>
    <t>"CruiseBurn": "1262",</t>
  </si>
  <si>
    <t>AircraftPerformance": [{"Altitude": "45000","ClimbTas": "410","ClimbBurn": "1412","ClimbRate": "203","CruiseTas": "434","CruiseBurn": "1262","PlanTas": "0","DescentBurn": "0","DescentTas": "0","DescentRate": "0","LoiterBurn": "0","HoldingBurn": "0","TaxiBurn": "0"},</t>
  </si>
  <si>
    <t>"ClimbBurn": "1473",</t>
  </si>
  <si>
    <t>"ClimbRate": "462",</t>
  </si>
  <si>
    <t>"CruiseBurn": "1263",</t>
  </si>
  <si>
    <t>{"Altitude": "43000","ClimbTas": "410","ClimbBurn": "1473","ClimbRate": "462","CruiseTas": "437","CruiseBurn": "1263","PlanTas": "0","DescentBurn": "0","DescentTas": "0","DescentRate": "0","LoiterBurn": "0","HoldingBurn": "0","TaxiBurn": "0"},</t>
  </si>
  <si>
    <t>"ClimbBurn": "1538",</t>
  </si>
  <si>
    <t>"ClimbRate": "716",</t>
  </si>
  <si>
    <t>"CruiseBurn": "1279",</t>
  </si>
  <si>
    <t>{"Altitude": "41000","ClimbTas": "410","ClimbBurn": "1538","ClimbRate": "716","CruiseTas": "440","CruiseBurn": "1279","PlanTas": "0","DescentBurn": "0","DescentTas": "0","DescentRate": "0","LoiterBurn": "0","HoldingBurn": "0","TaxiBurn": "0"},</t>
  </si>
  <si>
    <t>"ClimbBurn": "1606",</t>
  </si>
  <si>
    <t>"ClimbRate": "964",</t>
  </si>
  <si>
    <t>"CruiseBurn": "1311",</t>
  </si>
  <si>
    <t>{"Altitude": "39000","ClimbTas": "410","ClimbBurn": "1606","ClimbRate": "964","CruiseTas": "442","CruiseBurn": "1311","PlanTas": "0","DescentBurn": "0","DescentTas": "0","DescentRate": "0","LoiterBurn": "0","HoldingBurn": "0","TaxiBurn": "0"},</t>
  </si>
  <si>
    <t>"ClimbBurn": "1678",</t>
  </si>
  <si>
    <t>"ClimbRate": "1205",</t>
  </si>
  <si>
    <t>"CruiseBurn": "1357",</t>
  </si>
  <si>
    <t>{"Altitude": "37000","ClimbTas": "410","ClimbBurn": "1678","ClimbRate": "1205","CruiseTas": "444","CruiseBurn": "1357","PlanTas": "0","DescentBurn": "0","DescentTas": "0","DescentRate": "0","LoiterBurn": "0","HoldingBurn": "0","TaxiBurn": "0"},</t>
  </si>
  <si>
    <t>"ClimbBurn": "1754",</t>
  </si>
  <si>
    <t>"ClimbRate": "1440",</t>
  </si>
  <si>
    <t>"CruiseBurn": "1420",</t>
  </si>
  <si>
    <t>{"Altitude": "35000","ClimbTas": "412","ClimbBurn": "1754","ClimbRate": "1440","CruiseTas": "444","CruiseBurn": "1420","PlanTas": "0","DescentBurn": "0","DescentTas": "0","DescentRate": "0","LoiterBurn": "0","HoldingBurn": "0","TaxiBurn": "0"},</t>
  </si>
  <si>
    <t>"ClimbBurn": "1833",</t>
  </si>
  <si>
    <t>"ClimbRate": "1668",</t>
  </si>
  <si>
    <t>"CruiseBurn": "1497",</t>
  </si>
  <si>
    <t>{"Altitude": "33000","ClimbTas": "416","ClimbBurn": "1833","ClimbRate": "1668","CruiseTas": "444","CruiseBurn": "1497","PlanTas": "0","DescentBurn": "0","DescentTas": "0","DescentRate": "0","LoiterBurn": "0","HoldingBurn": "0","TaxiBurn": "0"},</t>
  </si>
  <si>
    <t>"ClimbBurn": "1916",</t>
  </si>
  <si>
    <t>"ClimbRate": "1891",</t>
  </si>
  <si>
    <t>"CruiseBurn": "1590",</t>
  </si>
  <si>
    <t>{"Altitude": "31000","ClimbTas": "408","ClimbBurn": "1916","ClimbRate": "1891","CruiseTas": "443","CruiseBurn": "1590","PlanTas": "0","DescentBurn": "0","DescentTas": "0","DescentRate": "0","LoiterBurn": "0","HoldingBurn": "0","TaxiBurn": "0"},</t>
  </si>
  <si>
    <t>"ClimbBurn": "2002",</t>
  </si>
  <si>
    <t>"ClimbRate": "2107",</t>
  </si>
  <si>
    <t>"CruiseBurn": "1699",</t>
  </si>
  <si>
    <t>{"Altitude": "29000","ClimbTas": "395","ClimbBurn": "2002","ClimbRate": "2107","CruiseTas": "440","CruiseBurn": "1699","PlanTas": "0","DescentBurn": "0","DescentTas": "0","DescentRate": "0","LoiterBurn": "0","HoldingBurn": "0","TaxiBurn": "0"},</t>
  </si>
  <si>
    <t>"ClimbBurn": "2093",</t>
  </si>
  <si>
    <t>"ClimbRate": "2316",</t>
  </si>
  <si>
    <t>"CruiseBurn": "1822",</t>
  </si>
  <si>
    <t>{"Altitude": "27000","ClimbTas": "383","ClimbBurn": "2093","ClimbRate": "2316","CruiseTas": "437","CruiseBurn": "1822","PlanTas": "0","DescentBurn": "0","DescentTas": "0","DescentRate": "0","LoiterBurn": "0","HoldingBurn": "0","TaxiBurn": "0"},</t>
  </si>
  <si>
    <t>"ClimbBurn": "2186",</t>
  </si>
  <si>
    <t>"ClimbRate": "2520",</t>
  </si>
  <si>
    <t>"CruiseBurn": "1961",</t>
  </si>
  <si>
    <t>{"Altitude": "25000","ClimbTas": "370","ClimbBurn": "2186","ClimbRate": "2520","CruiseTas": "432","CruiseBurn": "1961","PlanTas": "0","DescentBurn": "0","DescentTas": "0","DescentRate": "0","LoiterBurn": "0","HoldingBurn": "0","TaxiBurn": "0"},</t>
  </si>
  <si>
    <t>"ClimbBurn": "2284",</t>
  </si>
  <si>
    <t>"ClimbRate": "2717",</t>
  </si>
  <si>
    <t>"CruiseBurn": "2116",</t>
  </si>
  <si>
    <t>{"Altitude": "23000","ClimbTas": "359","ClimbBurn": "2284","ClimbRate": "2717","CruiseTas": "426","CruiseBurn": "2116","PlanTas": "0","DescentBurn": "0","DescentTas": "0","DescentRate": "0","LoiterBurn": "0","HoldingBurn": "0","TaxiBurn": "0"},</t>
  </si>
  <si>
    <t>"ClimbBurn": "2384",</t>
  </si>
  <si>
    <t>"ClimbRate": "2908",</t>
  </si>
  <si>
    <t>"CruiseBurn": "2286",</t>
  </si>
  <si>
    <t>{"Altitude": "21000","ClimbTas": "348","ClimbBurn": "2384","ClimbRate": "2908","CruiseTas": "418","CruiseBurn": "2286","PlanTas": "0","DescentBurn": "0","DescentTas": "0","DescentRate": "0","LoiterBurn": "0","HoldingBurn": "0","TaxiBurn": "0"},</t>
  </si>
  <si>
    <t>"ClimbBurn": "2489",</t>
  </si>
  <si>
    <t>"ClimbRate": "3093",</t>
  </si>
  <si>
    <t>"CruiseBurn": "2471",</t>
  </si>
  <si>
    <t>{"Altitude": "19000","ClimbTas": "337","ClimbBurn": "2489","ClimbRate": "3093","CruiseTas": "409","CruiseBurn": "2471","PlanTas": "0","DescentBurn": "0","DescentTas": "0","DescentRate": "0","LoiterBurn": "0","HoldingBurn": "0","TaxiBurn": "0"},</t>
  </si>
  <si>
    <t>"ClimbBurn": "2597",</t>
  </si>
  <si>
    <t>"ClimbRate": "3272",</t>
  </si>
  <si>
    <t>"CruiseBurn": "2672",</t>
  </si>
  <si>
    <t>{"Altitude": "17000","ClimbTas": "327","ClimbBurn": "2597","ClimbRate": "3272","CruiseTas": "398","CruiseBurn": "2672","PlanTas": "0","DescentBurn": "0","DescentTas": "0","DescentRate": "0","LoiterBurn": "0","HoldingBurn": "0","TaxiBurn": "0"},</t>
  </si>
  <si>
    <t>"ClimbBurn": "2709",</t>
  </si>
  <si>
    <t>"ClimbRate": "3444",</t>
  </si>
  <si>
    <t>"CruiseBurn": "2888",</t>
  </si>
  <si>
    <t>{"Altitude": "15000","ClimbTas": "317","ClimbBurn": "2709","ClimbRate": "3444","CruiseTas": "385","CruiseBurn": "2888","PlanTas": "0","DescentBurn": "0","DescentTas": "0","DescentRate": "0","LoiterBurn": "0","HoldingBurn": "0","TaxiBurn": "0"},</t>
  </si>
  <si>
    <t>"ClimbBurn": "2824",</t>
  </si>
  <si>
    <t>"ClimbRate": "3610",</t>
  </si>
  <si>
    <t>"CruiseBurn": "3120",</t>
  </si>
  <si>
    <t>{"Altitude": "13000","ClimbTas": "307","ClimbBurn": "2824","ClimbRate": "3610","CruiseTas": "371","CruiseBurn": "3120","PlanTas": "0","DescentBurn": "0","DescentTas": "0","DescentRate": "0","LoiterBurn": "0","HoldingBurn": "0","TaxiBurn": "0"},</t>
  </si>
  <si>
    <t>"ClimbBurn": "2943",</t>
  </si>
  <si>
    <t>"ClimbRate": "3770",</t>
  </si>
  <si>
    <t>"CruiseBurn": "3367",</t>
  </si>
  <si>
    <t>{"Altitude": "11000","ClimbTas": "298","ClimbBurn": "2943","ClimbRate": "3770","CruiseTas": "355","CruiseBurn": "3367","PlanTas": "0","DescentBurn": "0","DescentTas": "0","DescentRate": "0","LoiterBurn": "0","HoldingBurn": "0","TaxiBurn": "0"},</t>
  </si>
  <si>
    <t>"ClimbBurn": "3066",</t>
  </si>
  <si>
    <t>"ClimbRate": "3923",</t>
  </si>
  <si>
    <t>"CruiseBurn": "3629",</t>
  </si>
  <si>
    <t>{"Altitude": "9000","ClimbTas": "289","ClimbBurn": "3066","ClimbRate": "3923","CruiseTas": "337","CruiseBurn": "3629","PlanTas": "0","DescentBurn": "0","DescentTas": "0","DescentRate": "0","LoiterBurn": "0","HoldingBurn": "0","TaxiBurn": "0"},</t>
  </si>
  <si>
    <t>"ClimbBurn": "3192",</t>
  </si>
  <si>
    <t>"ClimbRate": "4071",</t>
  </si>
  <si>
    <t>"CruiseBurn": "3906",</t>
  </si>
  <si>
    <t>{"Altitude": "7000","ClimbTas": "281","ClimbBurn": "3192","ClimbRate": "4071","CruiseTas": "316","CruiseBurn": "3906","PlanTas": "0","DescentBurn": "0","DescentTas": "0","DescentRate": "0","LoiterBurn": "0","HoldingBurn": "0","TaxiBurn": "0"},</t>
  </si>
  <si>
    <t>"ClimbBurn": "3322",</t>
  </si>
  <si>
    <t>"ClimbRate": "4212",</t>
  </si>
  <si>
    <t>"CruiseBurn": "4200",</t>
  </si>
  <si>
    <t>{"Altitude": "5000","ClimbTas": "273","ClimbBurn": "3322","ClimbRate": "4212","CruiseTas": "294","CruiseBurn": "4200","PlanTas": "0","DescentBurn": "0","DescentTas": "0","DescentRate": "0","LoiterBurn": "0","HoldingBurn": "0","TaxiBurn": "0"},</t>
  </si>
  <si>
    <t>"ClimbBurn": "3455",</t>
  </si>
  <si>
    <t>"ClimbRate": "4347",</t>
  </si>
  <si>
    <t>"CruiseBurn": "4508",</t>
  </si>
  <si>
    <t>{"Altitude": "3000","ClimbTas": "265","ClimbBurn": "3455","ClimbRate": "4347","CruiseTas": "269","CruiseBurn": "4508","PlanTas": "0","DescentBurn": "0","DescentTas": "0","DescentRate": "0","LoiterBurn": "0","HoldingBurn": "0","TaxiBurn": "0"},</t>
  </si>
  <si>
    <t>"ClimbBurn": "3592",</t>
  </si>
  <si>
    <t>"ClimbRate": "4475",</t>
  </si>
  <si>
    <t>"CruiseBurn": "4832",</t>
  </si>
  <si>
    <t>{"Altitude": "1000","ClimbTas": "257","ClimbBurn": "3592","ClimbRate": "4475","CruiseTas": "242","CruiseBurn": "4832","PlanTas": "0","DescentBurn": "0","DescentTas": "0","DescentRate": "0","LoiterBurn": "0","HoldingBurn": "0","TaxiBurn": "0"}]</t>
  </si>
  <si>
    <t>LJJ</t>
  </si>
  <si>
    <t>&lt;/Equipment&gt;</t>
  </si>
  <si>
    <t>&lt;/SafetyEquipment&gt;</t>
  </si>
  <si>
    <t>&lt;</t>
  </si>
  <si>
    <t>[</t>
  </si>
  <si>
    <t>",</t>
  </si>
  <si>
    <t>"id":"</t>
  </si>
  <si>
    <t>","serial":"</t>
  </si>
  <si>
    <t>","deliniator":"</t>
  </si>
  <si>
    <t>","Performance":"</t>
  </si>
  <si>
    <t>","Manufacturer":"</t>
  </si>
  <si>
    <t>","WakeCategory":"</t>
  </si>
  <si>
    <t>","profiles":[],</t>
  </si>
  <si>
    <t>"Engines":[],"Engine":"",</t>
  </si>
  <si>
    <t>"Equipment" : {"SurveillanceEquipment":"</t>
  </si>
  <si>
    <t>","PBN":"</t>
  </si>
  <si>
    <t>","EquipmentInformation":"</t>
  </si>
  <si>
    <t>","SafetyEquipment":"</t>
  </si>
  <si>
    <t>","EmergencyRadio":"</t>
  </si>
  <si>
    <t>","NumberDinghies":"0","DinghiesCovered":"0","DinghyCapacity" : "0","DinghyColor":"0"},"STS":"</t>
  </si>
  <si>
    <t>"FuelCapacity":"</t>
  </si>
  <si>
    <t>"ReserveFuel":"</t>
  </si>
  <si>
    <t>,"FinalReserveTime":"</t>
  </si>
  <si>
    <t>","TaxiFuel":"</t>
  </si>
  <si>
    <t>","AWKBurn":"</t>
  </si>
  <si>
    <t>200</t>
  </si>
  <si>
    <t>","HoldingTas":"</t>
  </si>
  <si>
    <t>","PlannedTas":"</t>
  </si>
  <si>
    <t>","ClimbTas":"</t>
  </si>
  <si>
    <t>","CruiseTas":"</t>
  </si>
  <si>
    <t>","GlideTas":"</t>
  </si>
  <si>
    <t>","DescentTas":"</t>
  </si>
  <si>
    <t>","LoiterTas":"</t>
  </si>
  <si>
    <t>","DescentRate":"</t>
  </si>
  <si>
    <t>","ClimbRate":"</t>
  </si>
  <si>
    <t>","GlideRatio":"</t>
  </si>
  <si>
    <t>","ServiceCeiling":"</t>
  </si>
  <si>
    <t>"},</t>
  </si>
  <si>
    <t>]</t>
  </si>
  <si>
    <t>","ContingencyReserveFuel":"</t>
  </si>
  <si>
    <t>","ContingencyFuelMinimum":"</t>
  </si>
  <si>
    <t>","Color":"</t>
  </si>
  <si>
    <t>","ClimbBurn":"</t>
  </si>
  <si>
    <t>","HoverBurn":"</t>
  </si>
  <si>
    <t>"}</t>
  </si>
  <si>
    <t>L36</t>
  </si>
  <si>
    <t>"type":</t>
  </si>
  <si>
    <t>1</t>
  </si>
  <si>
    <t>2</t>
  </si>
  <si>
    <t>3</t>
  </si>
  <si>
    <t>4</t>
  </si>
  <si>
    <t>5</t>
  </si>
  <si>
    <t>6</t>
  </si>
  <si>
    <t>7</t>
  </si>
  <si>
    <t>,"Code":"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</si>
</sst>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10">
    <font>
      <sz val="11"/>
      <color theme="1"/>
      <name val="Calibri"/>
      <family val="2"/>
      <scheme val="minor"/>
    </font>
    <font>
      <sz val="8"/>
      <name val="Calibri"/>
      <family val="2"/>
      <scheme val="minor"/>
    </font>
    <font>
      <sz val="11"/>
      <color rgb="FF006100"/>
      <name val="Calibri"/>
      <family val="2"/>
      <scheme val="minor"/>
    </font>
    <font>
      <sz val="11"/>
      <color rgb="FF9C0006"/>
      <name val="Calibri"/>
      <family val="2"/>
      <scheme val="minor"/>
    </font>
    <font>
      <sz val="10"/>
      <color theme="1"/>
      <name val="Var(--ff-mono)"/>
    </font>
    <font>
      <b/>
      <sz val="11"/>
      <color theme="1"/>
      <name val="Calibri"/>
      <family val="2"/>
      <scheme val="minor"/>
    </font>
    <font>
      <sz val="10"/>
      <name val="Calibri"/>
      <family val="2"/>
      <scheme val="minor"/>
    </font>
    <font>
      <sz val="11"/>
      <name val="Calibri"/>
      <family val="2"/>
      <scheme val="minor"/>
    </font>
    <font>
      <sz val="18"/>
      <color theme="1"/>
      <name val="Calibri"/>
      <family val="2"/>
      <scheme val="minor"/>
    </font>
    <font>
      <sz val="11"/>
      <color rgb="FF000000"/>
      <name val="Calibri"/>
      <family val="2"/>
    </font>
  </fonts>
  <fills count="12">
    <fill>
      <patternFill patternType="none"/>
    </fill>
    <fill>
      <patternFill patternType="gray125"/>
    </fill>
    <fill>
      <patternFill patternType="solid">
        <fgColor rgb="FFC6EFCE"/>
      </patternFill>
    </fill>
    <fill>
      <patternFill patternType="solid">
        <fgColor rgb="FFFFC7CE"/>
      </patternFill>
    </fill>
    <fill>
      <patternFill patternType="solid">
        <fgColor theme="4" tint="0.59999389629810485"/>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8" tint="0.59999389629810485"/>
        <bgColor indexed="64"/>
      </patternFill>
    </fill>
  </fills>
  <borders count="17">
    <border>
      <left/>
      <right/>
      <top/>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thin">
        <color indexed="64"/>
      </bottom>
      <diagonal/>
    </border>
    <border>
      <left/>
      <right/>
      <top/>
      <bottom style="thin">
        <color indexed="64"/>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99">
    <xf numFmtId="0" fontId="0" fillId="0" borderId="0" xfId="0"/>
    <xf numFmtId="49" fontId="0" fillId="0" borderId="0" xfId="0" applyNumberFormat="1"/>
    <xf numFmtId="49" fontId="0" fillId="0" borderId="0" xfId="0" applyNumberFormat="1" applyAlignment="1">
      <alignment horizontal="left" textRotation="180" wrapText="1"/>
    </xf>
    <xf numFmtId="0" fontId="3" fillId="0" borderId="0" xfId="2" applyFill="1"/>
    <xf numFmtId="1" fontId="0" fillId="0" borderId="0" xfId="0" applyNumberFormat="1"/>
    <xf numFmtId="0" fontId="2" fillId="0" borderId="0" xfId="1" applyFill="1"/>
    <xf numFmtId="0" fontId="0" fillId="0" borderId="4" xfId="0" applyBorder="1"/>
    <xf numFmtId="0" fontId="0" fillId="0" borderId="5" xfId="0" applyBorder="1"/>
    <xf numFmtId="0" fontId="0" fillId="0" borderId="6" xfId="0" applyBorder="1"/>
    <xf numFmtId="49" fontId="0" fillId="0" borderId="0" xfId="0" applyNumberFormat="1" applyAlignment="1">
      <alignment horizontal="left"/>
    </xf>
    <xf numFmtId="0" fontId="4" fillId="0" borderId="0" xfId="0" applyFont="1" applyAlignment="1">
      <alignment horizontal="left" vertical="center" indent="1"/>
    </xf>
    <xf numFmtId="49" fontId="0" fillId="0" borderId="0" xfId="0" applyNumberFormat="1" applyBorder="1"/>
    <xf numFmtId="49" fontId="0" fillId="0" borderId="0" xfId="0" applyNumberFormat="1" applyBorder="1" applyAlignment="1">
      <alignment horizontal="left"/>
    </xf>
    <xf numFmtId="0" fontId="0" fillId="0" borderId="10" xfId="0" applyBorder="1"/>
    <xf numFmtId="0" fontId="0" fillId="0" borderId="0" xfId="0" applyBorder="1"/>
    <xf numFmtId="1" fontId="0" fillId="0" borderId="0" xfId="0" applyNumberFormat="1" applyBorder="1"/>
    <xf numFmtId="0" fontId="0" fillId="0" borderId="11" xfId="0" applyBorder="1"/>
    <xf numFmtId="0" fontId="0" fillId="0" borderId="12" xfId="0" applyBorder="1"/>
    <xf numFmtId="0" fontId="0" fillId="0" borderId="13" xfId="0" applyBorder="1"/>
    <xf numFmtId="1" fontId="0" fillId="0" borderId="13" xfId="0" applyNumberFormat="1" applyBorder="1"/>
    <xf numFmtId="0" fontId="0" fillId="0" borderId="14" xfId="0" applyBorder="1"/>
    <xf numFmtId="49" fontId="0" fillId="4" borderId="10" xfId="0" applyNumberFormat="1" applyFill="1" applyBorder="1" applyAlignment="1">
      <alignment horizontal="left" textRotation="180" wrapText="1"/>
    </xf>
    <xf numFmtId="49" fontId="0" fillId="4" borderId="0" xfId="0" applyNumberFormat="1" applyFill="1" applyBorder="1" applyAlignment="1">
      <alignment horizontal="left" textRotation="180" wrapText="1"/>
    </xf>
    <xf numFmtId="49" fontId="0" fillId="4" borderId="11" xfId="0" applyNumberFormat="1" applyFill="1" applyBorder="1" applyAlignment="1">
      <alignment horizontal="left" textRotation="180" wrapText="1"/>
    </xf>
    <xf numFmtId="0" fontId="0" fillId="4" borderId="10" xfId="0" applyFill="1" applyBorder="1"/>
    <xf numFmtId="49" fontId="0" fillId="0" borderId="0" xfId="0" applyNumberFormat="1" applyAlignment="1"/>
    <xf numFmtId="49" fontId="0" fillId="4" borderId="0" xfId="0" applyNumberFormat="1" applyFill="1" applyAlignment="1">
      <alignment horizontal="left" textRotation="90"/>
    </xf>
    <xf numFmtId="49" fontId="0" fillId="6" borderId="0" xfId="0" applyNumberFormat="1" applyFill="1" applyAlignment="1"/>
    <xf numFmtId="0" fontId="0" fillId="0" borderId="0" xfId="0" applyAlignment="1">
      <alignment horizontal="left"/>
    </xf>
    <xf numFmtId="0" fontId="0" fillId="0" borderId="13" xfId="0" applyBorder="1" applyAlignment="1">
      <alignment horizontal="left"/>
    </xf>
    <xf numFmtId="0" fontId="0" fillId="9" borderId="15" xfId="0" applyFill="1" applyBorder="1"/>
    <xf numFmtId="14" fontId="0" fillId="9" borderId="16" xfId="0" applyNumberFormat="1" applyFill="1" applyBorder="1" applyAlignment="1">
      <alignment horizontal="left"/>
    </xf>
    <xf numFmtId="0" fontId="0" fillId="9" borderId="16" xfId="0" applyFill="1" applyBorder="1" applyAlignment="1">
      <alignment horizontal="left"/>
    </xf>
    <xf numFmtId="0" fontId="0" fillId="9" borderId="16" xfId="0" applyFill="1" applyBorder="1"/>
    <xf numFmtId="164" fontId="0" fillId="9" borderId="2" xfId="0" applyNumberFormat="1" applyFill="1" applyBorder="1" applyAlignment="1">
      <alignment horizontal="left"/>
    </xf>
    <xf numFmtId="0" fontId="0" fillId="9" borderId="4" xfId="0" applyFill="1" applyBorder="1"/>
    <xf numFmtId="0" fontId="0" fillId="9" borderId="5" xfId="0" applyFill="1" applyBorder="1"/>
    <xf numFmtId="0" fontId="0" fillId="9" borderId="5" xfId="0" applyFill="1" applyBorder="1" applyAlignment="1">
      <alignment horizontal="left"/>
    </xf>
    <xf numFmtId="0" fontId="0" fillId="9" borderId="6" xfId="0" applyFill="1" applyBorder="1"/>
    <xf numFmtId="0" fontId="0" fillId="0" borderId="9" xfId="0" applyBorder="1"/>
    <xf numFmtId="0" fontId="0" fillId="0" borderId="8" xfId="0" applyBorder="1"/>
    <xf numFmtId="0" fontId="0" fillId="0" borderId="8" xfId="0" applyBorder="1" applyAlignment="1">
      <alignment horizontal="left"/>
    </xf>
    <xf numFmtId="0" fontId="0" fillId="0" borderId="7" xfId="0" applyBorder="1"/>
    <xf numFmtId="0" fontId="0" fillId="0" borderId="0" xfId="0" applyBorder="1" applyAlignment="1">
      <alignment horizontal="left"/>
    </xf>
    <xf numFmtId="0" fontId="5" fillId="0" borderId="0" xfId="0" applyFont="1" applyBorder="1"/>
    <xf numFmtId="0" fontId="5" fillId="0" borderId="0" xfId="0" applyFont="1" applyBorder="1" applyAlignment="1">
      <alignment horizontal="left"/>
    </xf>
    <xf numFmtId="0" fontId="0" fillId="0" borderId="0" xfId="0" applyBorder="1" applyAlignment="1">
      <alignment horizontal="right"/>
    </xf>
    <xf numFmtId="165" fontId="0" fillId="0" borderId="0" xfId="0" applyNumberFormat="1" applyBorder="1" applyAlignment="1">
      <alignment horizontal="left"/>
    </xf>
    <xf numFmtId="0" fontId="0" fillId="11" borderId="0" xfId="0" applyFill="1" applyAlignment="1">
      <alignment horizontal="left" textRotation="180" wrapText="1"/>
    </xf>
    <xf numFmtId="0" fontId="0" fillId="11" borderId="3" xfId="0" applyFill="1" applyBorder="1" applyAlignment="1">
      <alignment horizontal="left" textRotation="180" wrapText="1"/>
    </xf>
    <xf numFmtId="0" fontId="0" fillId="11" borderId="0" xfId="0" applyFill="1" applyBorder="1" applyAlignment="1">
      <alignment horizontal="left" textRotation="180" wrapText="1"/>
    </xf>
    <xf numFmtId="0" fontId="0" fillId="11" borderId="1" xfId="0" applyFill="1" applyBorder="1" applyAlignment="1">
      <alignment horizontal="left" textRotation="180" wrapText="1"/>
    </xf>
    <xf numFmtId="165" fontId="0" fillId="0" borderId="0" xfId="0" applyNumberFormat="1"/>
    <xf numFmtId="165" fontId="0" fillId="0" borderId="3" xfId="0" applyNumberFormat="1" applyBorder="1"/>
    <xf numFmtId="165" fontId="0" fillId="0" borderId="0" xfId="0" applyNumberFormat="1" applyBorder="1"/>
    <xf numFmtId="165" fontId="0" fillId="0" borderId="1" xfId="0" applyNumberFormat="1" applyBorder="1"/>
    <xf numFmtId="165" fontId="0" fillId="0" borderId="2" xfId="0" applyNumberFormat="1" applyBorder="1"/>
    <xf numFmtId="165" fontId="0" fillId="0" borderId="16" xfId="0" applyNumberFormat="1" applyBorder="1"/>
    <xf numFmtId="165" fontId="0" fillId="0" borderId="15" xfId="0" applyNumberFormat="1" applyBorder="1"/>
    <xf numFmtId="0" fontId="0" fillId="11" borderId="0" xfId="0" applyFill="1"/>
    <xf numFmtId="0" fontId="0" fillId="0" borderId="0" xfId="0" applyNumberFormat="1"/>
    <xf numFmtId="0" fontId="0" fillId="0" borderId="0" xfId="0" applyNumberFormat="1" applyBorder="1"/>
    <xf numFmtId="0" fontId="0" fillId="0" borderId="0" xfId="0" applyNumberFormat="1" applyAlignment="1">
      <alignment horizontal="left"/>
    </xf>
    <xf numFmtId="0" fontId="0" fillId="4" borderId="7" xfId="0" applyNumberFormat="1" applyFill="1" applyBorder="1"/>
    <xf numFmtId="0" fontId="0" fillId="5" borderId="8" xfId="0" applyNumberFormat="1" applyFill="1" applyBorder="1"/>
    <xf numFmtId="0" fontId="0" fillId="0" borderId="8" xfId="0" applyNumberFormat="1" applyBorder="1"/>
    <xf numFmtId="0" fontId="0" fillId="0" borderId="9" xfId="0" applyNumberFormat="1" applyBorder="1"/>
    <xf numFmtId="0" fontId="0" fillId="4" borderId="10" xfId="0" applyNumberFormat="1" applyFill="1" applyBorder="1"/>
    <xf numFmtId="0" fontId="0" fillId="0" borderId="11" xfId="0" applyNumberFormat="1" applyBorder="1"/>
    <xf numFmtId="0" fontId="0" fillId="0" borderId="0" xfId="0" applyNumberFormat="1" applyBorder="1" applyAlignment="1">
      <alignment horizontal="left"/>
    </xf>
    <xf numFmtId="0" fontId="0" fillId="0" borderId="10" xfId="0" applyNumberFormat="1" applyBorder="1" applyAlignment="1">
      <alignment horizontal="left"/>
    </xf>
    <xf numFmtId="0" fontId="0" fillId="5" borderId="0" xfId="0" applyNumberFormat="1" applyFill="1" applyBorder="1" applyAlignment="1">
      <alignment horizontal="left"/>
    </xf>
    <xf numFmtId="0" fontId="0" fillId="0" borderId="11" xfId="0" applyNumberFormat="1" applyBorder="1" applyAlignment="1">
      <alignment horizontal="left"/>
    </xf>
    <xf numFmtId="0" fontId="0" fillId="0" borderId="0" xfId="0" applyNumberFormat="1" applyAlignment="1"/>
    <xf numFmtId="0" fontId="8" fillId="10" borderId="6" xfId="0" applyFont="1" applyFill="1" applyBorder="1" applyAlignment="1">
      <alignment horizontal="center" vertical="center"/>
    </xf>
    <xf numFmtId="0" fontId="8" fillId="10" borderId="5" xfId="0" applyFont="1" applyFill="1" applyBorder="1" applyAlignment="1">
      <alignment horizontal="center" vertical="center"/>
    </xf>
    <xf numFmtId="0" fontId="8" fillId="10" borderId="4" xfId="0" applyFont="1" applyFill="1" applyBorder="1" applyAlignment="1">
      <alignment horizontal="center" vertical="center"/>
    </xf>
    <xf numFmtId="0" fontId="8" fillId="10" borderId="3" xfId="0" applyFont="1" applyFill="1" applyBorder="1" applyAlignment="1">
      <alignment horizontal="center" vertical="center"/>
    </xf>
    <xf numFmtId="0" fontId="8" fillId="10" borderId="0" xfId="0" applyFont="1" applyFill="1" applyBorder="1" applyAlignment="1">
      <alignment horizontal="center" vertical="center"/>
    </xf>
    <xf numFmtId="0" fontId="8" fillId="10" borderId="1" xfId="0" applyFont="1" applyFill="1" applyBorder="1" applyAlignment="1">
      <alignment horizontal="center" vertical="center"/>
    </xf>
    <xf numFmtId="0" fontId="6" fillId="7" borderId="6" xfId="0" applyFont="1" applyFill="1" applyBorder="1" applyAlignment="1">
      <alignment horizontal="center" vertical="center" wrapText="1"/>
    </xf>
    <xf numFmtId="0" fontId="6" fillId="7" borderId="5" xfId="0" applyFont="1" applyFill="1" applyBorder="1" applyAlignment="1">
      <alignment horizontal="center" vertical="center" wrapText="1"/>
    </xf>
    <xf numFmtId="0" fontId="6" fillId="7" borderId="4" xfId="0" applyFont="1" applyFill="1" applyBorder="1" applyAlignment="1">
      <alignment horizontal="center" vertical="center" wrapText="1"/>
    </xf>
    <xf numFmtId="0" fontId="6" fillId="7" borderId="3" xfId="0" applyFont="1" applyFill="1" applyBorder="1" applyAlignment="1">
      <alignment horizontal="center" vertical="center" wrapText="1"/>
    </xf>
    <xf numFmtId="0" fontId="6" fillId="7" borderId="0" xfId="0" applyFont="1" applyFill="1" applyBorder="1" applyAlignment="1">
      <alignment horizontal="center" vertical="center" wrapText="1"/>
    </xf>
    <xf numFmtId="0" fontId="6" fillId="7" borderId="1"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16" xfId="0" applyFont="1" applyFill="1" applyBorder="1" applyAlignment="1">
      <alignment horizontal="center" vertical="center" wrapText="1"/>
    </xf>
    <xf numFmtId="0" fontId="6" fillId="7" borderId="15" xfId="0" applyFont="1" applyFill="1" applyBorder="1" applyAlignment="1">
      <alignment horizontal="center" vertical="center" wrapText="1"/>
    </xf>
    <xf numFmtId="0" fontId="7" fillId="8" borderId="6" xfId="0" applyFont="1" applyFill="1" applyBorder="1" applyAlignment="1">
      <alignment horizontal="center" wrapText="1"/>
    </xf>
    <xf numFmtId="0" fontId="7" fillId="8" borderId="5" xfId="0" applyFont="1" applyFill="1" applyBorder="1" applyAlignment="1">
      <alignment horizontal="center" wrapText="1"/>
    </xf>
    <xf numFmtId="0" fontId="7" fillId="8" borderId="4" xfId="0" applyFont="1" applyFill="1" applyBorder="1" applyAlignment="1">
      <alignment horizontal="center" wrapText="1"/>
    </xf>
    <xf numFmtId="0" fontId="7" fillId="8" borderId="3" xfId="0" applyFont="1" applyFill="1" applyBorder="1" applyAlignment="1">
      <alignment horizontal="center" wrapText="1"/>
    </xf>
    <xf numFmtId="0" fontId="7" fillId="8" borderId="0" xfId="0" applyFont="1" applyFill="1" applyBorder="1" applyAlignment="1">
      <alignment horizontal="center" wrapText="1"/>
    </xf>
    <xf numFmtId="0" fontId="7" fillId="8" borderId="1" xfId="0" applyFont="1" applyFill="1" applyBorder="1" applyAlignment="1">
      <alignment horizontal="center" wrapText="1"/>
    </xf>
    <xf numFmtId="0" fontId="7" fillId="8" borderId="2" xfId="0" applyFont="1" applyFill="1" applyBorder="1" applyAlignment="1">
      <alignment horizontal="center" wrapText="1"/>
    </xf>
    <xf numFmtId="0" fontId="7" fillId="8" borderId="16" xfId="0" applyFont="1" applyFill="1" applyBorder="1" applyAlignment="1">
      <alignment horizontal="center" wrapText="1"/>
    </xf>
    <xf numFmtId="0" fontId="7" fillId="8" borderId="15" xfId="0" applyFont="1" applyFill="1" applyBorder="1" applyAlignment="1">
      <alignment horizontal="center" wrapText="1"/>
    </xf>
    <xf numFmtId="49" fontId="0" fillId="0" borderId="0" xfId="0" applyNumberFormat="1" applyAlignment="1">
      <alignment horizontal="center" vertical="center" textRotation="90"/>
    </xf>
  </cellXfs>
  <cellStyles count="3">
    <cellStyle name="Bad" xfId="2" builtinId="27"/>
    <cellStyle name="Good"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L35/36</a:t>
            </a:r>
            <a:r>
              <a:rPr lang="en-AU" baseline="0"/>
              <a:t> </a:t>
            </a:r>
            <a:r>
              <a:rPr lang="en-AU"/>
              <a:t>Climb</a:t>
            </a:r>
            <a:r>
              <a:rPr lang="en-AU" baseline="0"/>
              <a:t> Rate and Fuel Flow</a:t>
            </a:r>
          </a:p>
          <a:p>
            <a:pPr>
              <a:defRPr/>
            </a:pPr>
            <a:r>
              <a:rPr lang="en-AU" baseline="0"/>
              <a:t>17,000lbs - 250kts to 17k then M0.7</a:t>
            </a:r>
            <a:endParaRPr lang="en-A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'AFM Climb'!$E$2</c:f>
              <c:strCache>
                <c:ptCount val="1"/>
                <c:pt idx="0">
                  <c:v>Clim Rate (fpm)</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layout>
                <c:manualLayout>
                  <c:x val="-0.33965138864451139"/>
                  <c:y val="-0.1900177825495720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'AFM Climb'!$A$3:$A$25</c:f>
              <c:numCache>
                <c:formatCode>0.0</c:formatCode>
                <c:ptCount val="23"/>
                <c:pt idx="0">
                  <c:v>45000</c:v>
                </c:pt>
                <c:pt idx="1">
                  <c:v>43000</c:v>
                </c:pt>
                <c:pt idx="2">
                  <c:v>41000</c:v>
                </c:pt>
                <c:pt idx="3">
                  <c:v>39000</c:v>
                </c:pt>
                <c:pt idx="4">
                  <c:v>37000</c:v>
                </c:pt>
                <c:pt idx="5">
                  <c:v>35000</c:v>
                </c:pt>
                <c:pt idx="6">
                  <c:v>33000</c:v>
                </c:pt>
                <c:pt idx="7">
                  <c:v>31000</c:v>
                </c:pt>
                <c:pt idx="8">
                  <c:v>29000</c:v>
                </c:pt>
                <c:pt idx="9">
                  <c:v>27000</c:v>
                </c:pt>
                <c:pt idx="10">
                  <c:v>25000</c:v>
                </c:pt>
                <c:pt idx="11">
                  <c:v>23000</c:v>
                </c:pt>
                <c:pt idx="12">
                  <c:v>21000</c:v>
                </c:pt>
                <c:pt idx="13">
                  <c:v>19000</c:v>
                </c:pt>
                <c:pt idx="14">
                  <c:v>17000</c:v>
                </c:pt>
                <c:pt idx="15">
                  <c:v>15000</c:v>
                </c:pt>
                <c:pt idx="16">
                  <c:v>13000</c:v>
                </c:pt>
                <c:pt idx="17">
                  <c:v>11000</c:v>
                </c:pt>
                <c:pt idx="18">
                  <c:v>9000</c:v>
                </c:pt>
                <c:pt idx="19">
                  <c:v>7000</c:v>
                </c:pt>
                <c:pt idx="20">
                  <c:v>5000</c:v>
                </c:pt>
                <c:pt idx="21">
                  <c:v>3000</c:v>
                </c:pt>
                <c:pt idx="22">
                  <c:v>1000</c:v>
                </c:pt>
              </c:numCache>
            </c:numRef>
          </c:xVal>
          <c:yVal>
            <c:numRef>
              <c:f>'AFM Climb'!$E$3:$E$25</c:f>
              <c:numCache>
                <c:formatCode>0.0</c:formatCode>
                <c:ptCount val="23"/>
                <c:pt idx="3">
                  <c:v>540.54054054054063</c:v>
                </c:pt>
                <c:pt idx="4">
                  <c:v>909.09090909090935</c:v>
                </c:pt>
                <c:pt idx="5">
                  <c:v>1111.1111111111106</c:v>
                </c:pt>
                <c:pt idx="6">
                  <c:v>1111.1111111111106</c:v>
                </c:pt>
                <c:pt idx="7">
                  <c:v>1250.0000000000002</c:v>
                </c:pt>
                <c:pt idx="8">
                  <c:v>1666.6666666666652</c:v>
                </c:pt>
                <c:pt idx="9">
                  <c:v>1818.1818181818187</c:v>
                </c:pt>
                <c:pt idx="10">
                  <c:v>2000</c:v>
                </c:pt>
                <c:pt idx="11">
                  <c:v>2222.2222222222235</c:v>
                </c:pt>
                <c:pt idx="12">
                  <c:v>2500.0000000000005</c:v>
                </c:pt>
                <c:pt idx="13">
                  <c:v>2857.1428571428564</c:v>
                </c:pt>
                <c:pt idx="14">
                  <c:v>2500.0000000000005</c:v>
                </c:pt>
                <c:pt idx="15">
                  <c:v>3333.3333333333303</c:v>
                </c:pt>
                <c:pt idx="16">
                  <c:v>2857.1428571428582</c:v>
                </c:pt>
                <c:pt idx="17">
                  <c:v>3333.333333333333</c:v>
                </c:pt>
                <c:pt idx="18">
                  <c:v>3333.333333333333</c:v>
                </c:pt>
                <c:pt idx="19">
                  <c:v>4000</c:v>
                </c:pt>
                <c:pt idx="20">
                  <c:v>3333.3333333333339</c:v>
                </c:pt>
                <c:pt idx="21">
                  <c:v>4000</c:v>
                </c:pt>
                <c:pt idx="22">
                  <c:v>3333.3333333333335</c:v>
                </c:pt>
              </c:numCache>
            </c:numRef>
          </c:yVal>
          <c:smooth val="0"/>
          <c:extLst>
            <c:ext xmlns:c16="http://schemas.microsoft.com/office/drawing/2014/chart" uri="{C3380CC4-5D6E-409C-BE32-E72D297353CC}">
              <c16:uniqueId val="{00000001-E069-491B-AF54-96B3228590A2}"/>
            </c:ext>
          </c:extLst>
        </c:ser>
        <c:dLbls>
          <c:showLegendKey val="0"/>
          <c:showVal val="0"/>
          <c:showCatName val="0"/>
          <c:showSerName val="0"/>
          <c:showPercent val="0"/>
          <c:showBubbleSize val="0"/>
        </c:dLbls>
        <c:axId val="268954304"/>
        <c:axId val="268955136"/>
      </c:scatterChart>
      <c:scatterChart>
        <c:scatterStyle val="lineMarker"/>
        <c:varyColors val="0"/>
        <c:ser>
          <c:idx val="1"/>
          <c:order val="1"/>
          <c:tx>
            <c:strRef>
              <c:f>'AFM Climb'!$F$2</c:f>
              <c:strCache>
                <c:ptCount val="1"/>
                <c:pt idx="0">
                  <c:v>Climb Burn (lb/hr)</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1"/>
            <c:dispEq val="1"/>
            <c:trendlineLbl>
              <c:layout>
                <c:manualLayout>
                  <c:x val="5.5889264466536172E-2"/>
                  <c:y val="-0.4321880771240402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'AFM Climb'!$A$3:$A$25</c:f>
              <c:numCache>
                <c:formatCode>0.0</c:formatCode>
                <c:ptCount val="23"/>
                <c:pt idx="0">
                  <c:v>45000</c:v>
                </c:pt>
                <c:pt idx="1">
                  <c:v>43000</c:v>
                </c:pt>
                <c:pt idx="2">
                  <c:v>41000</c:v>
                </c:pt>
                <c:pt idx="3">
                  <c:v>39000</c:v>
                </c:pt>
                <c:pt idx="4">
                  <c:v>37000</c:v>
                </c:pt>
                <c:pt idx="5">
                  <c:v>35000</c:v>
                </c:pt>
                <c:pt idx="6">
                  <c:v>33000</c:v>
                </c:pt>
                <c:pt idx="7">
                  <c:v>31000</c:v>
                </c:pt>
                <c:pt idx="8">
                  <c:v>29000</c:v>
                </c:pt>
                <c:pt idx="9">
                  <c:v>27000</c:v>
                </c:pt>
                <c:pt idx="10">
                  <c:v>25000</c:v>
                </c:pt>
                <c:pt idx="11">
                  <c:v>23000</c:v>
                </c:pt>
                <c:pt idx="12">
                  <c:v>21000</c:v>
                </c:pt>
                <c:pt idx="13">
                  <c:v>19000</c:v>
                </c:pt>
                <c:pt idx="14">
                  <c:v>17000</c:v>
                </c:pt>
                <c:pt idx="15">
                  <c:v>15000</c:v>
                </c:pt>
                <c:pt idx="16">
                  <c:v>13000</c:v>
                </c:pt>
                <c:pt idx="17">
                  <c:v>11000</c:v>
                </c:pt>
                <c:pt idx="18">
                  <c:v>9000</c:v>
                </c:pt>
                <c:pt idx="19">
                  <c:v>7000</c:v>
                </c:pt>
                <c:pt idx="20">
                  <c:v>5000</c:v>
                </c:pt>
                <c:pt idx="21">
                  <c:v>3000</c:v>
                </c:pt>
                <c:pt idx="22">
                  <c:v>1000</c:v>
                </c:pt>
              </c:numCache>
            </c:numRef>
          </c:xVal>
          <c:yVal>
            <c:numRef>
              <c:f>'AFM Climb'!$F$3:$F$25</c:f>
              <c:numCache>
                <c:formatCode>0.0</c:formatCode>
                <c:ptCount val="23"/>
                <c:pt idx="3">
                  <c:v>1201.6216216216221</c:v>
                </c:pt>
                <c:pt idx="4">
                  <c:v>1339.0909090909101</c:v>
                </c:pt>
                <c:pt idx="5">
                  <c:v>1443.3333333333312</c:v>
                </c:pt>
                <c:pt idx="6">
                  <c:v>1616.6666666666661</c:v>
                </c:pt>
                <c:pt idx="7">
                  <c:v>1560.0000000000011</c:v>
                </c:pt>
                <c:pt idx="8">
                  <c:v>1789.9999999999991</c:v>
                </c:pt>
                <c:pt idx="9">
                  <c:v>1778.1818181818169</c:v>
                </c:pt>
                <c:pt idx="10">
                  <c:v>1848.0000000000007</c:v>
                </c:pt>
                <c:pt idx="11">
                  <c:v>1673.3333333333358</c:v>
                </c:pt>
                <c:pt idx="12">
                  <c:v>2489.9999999999995</c:v>
                </c:pt>
                <c:pt idx="13">
                  <c:v>2382.8571428571431</c:v>
                </c:pt>
                <c:pt idx="14">
                  <c:v>2047.4999999999991</c:v>
                </c:pt>
                <c:pt idx="15">
                  <c:v>2679.9999999999986</c:v>
                </c:pt>
                <c:pt idx="16">
                  <c:v>2271.4285714285725</c:v>
                </c:pt>
                <c:pt idx="17">
                  <c:v>2619.9999999999986</c:v>
                </c:pt>
                <c:pt idx="18">
                  <c:v>2630.0000000000009</c:v>
                </c:pt>
                <c:pt idx="19">
                  <c:v>3155.9999999999995</c:v>
                </c:pt>
                <c:pt idx="20">
                  <c:v>2660</c:v>
                </c:pt>
                <c:pt idx="21">
                  <c:v>3204.0000000000005</c:v>
                </c:pt>
                <c:pt idx="22">
                  <c:v>2700</c:v>
                </c:pt>
              </c:numCache>
            </c:numRef>
          </c:yVal>
          <c:smooth val="0"/>
          <c:extLst>
            <c:ext xmlns:c16="http://schemas.microsoft.com/office/drawing/2014/chart" uri="{C3380CC4-5D6E-409C-BE32-E72D297353CC}">
              <c16:uniqueId val="{00000003-E069-491B-AF54-96B3228590A2}"/>
            </c:ext>
          </c:extLst>
        </c:ser>
        <c:dLbls>
          <c:showLegendKey val="0"/>
          <c:showVal val="0"/>
          <c:showCatName val="0"/>
          <c:showSerName val="0"/>
          <c:showPercent val="0"/>
          <c:showBubbleSize val="0"/>
        </c:dLbls>
        <c:axId val="268956800"/>
        <c:axId val="282985952"/>
      </c:scatterChart>
      <c:valAx>
        <c:axId val="2689543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Altitude</a:t>
                </a:r>
                <a:r>
                  <a:rPr lang="en-AU" baseline="0"/>
                  <a:t> (ft)</a:t>
                </a:r>
                <a:endParaRPr lang="en-AU"/>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955136"/>
        <c:crosses val="autoZero"/>
        <c:crossBetween val="midCat"/>
      </c:valAx>
      <c:valAx>
        <c:axId val="268955136"/>
        <c:scaling>
          <c:orientation val="minMax"/>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Climb Rate</a:t>
                </a:r>
                <a:r>
                  <a:rPr lang="en-AU" baseline="0"/>
                  <a:t> (ft/min)</a:t>
                </a:r>
              </a:p>
              <a:p>
                <a:pPr>
                  <a:defRPr/>
                </a:pPr>
                <a:endParaRPr lang="en-A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accent1">
                <a:lumMod val="60000"/>
                <a:lumOff val="4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954304"/>
        <c:crosses val="autoZero"/>
        <c:crossBetween val="midCat"/>
      </c:valAx>
      <c:valAx>
        <c:axId val="28298595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Climb</a:t>
                </a:r>
                <a:r>
                  <a:rPr lang="en-AU" baseline="0"/>
                  <a:t> Burn (lb/hr)</a:t>
                </a:r>
                <a:endParaRPr lang="en-A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accent2">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956800"/>
        <c:crosses val="max"/>
        <c:crossBetween val="midCat"/>
      </c:valAx>
      <c:valAx>
        <c:axId val="268956800"/>
        <c:scaling>
          <c:orientation val="minMax"/>
        </c:scaling>
        <c:delete val="1"/>
        <c:axPos val="b"/>
        <c:numFmt formatCode="0.0" sourceLinked="1"/>
        <c:majorTickMark val="out"/>
        <c:minorTickMark val="none"/>
        <c:tickLblPos val="nextTo"/>
        <c:crossAx val="2829859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L31</a:t>
            </a:r>
            <a:r>
              <a:rPr lang="en-AU" baseline="0"/>
              <a:t> </a:t>
            </a:r>
            <a:r>
              <a:rPr lang="en-AU"/>
              <a:t>Climb</a:t>
            </a:r>
            <a:r>
              <a:rPr lang="en-AU" baseline="0"/>
              <a:t> Rate and Fuel Flow</a:t>
            </a:r>
          </a:p>
          <a:p>
            <a:pPr>
              <a:defRPr/>
            </a:pPr>
            <a:r>
              <a:rPr lang="en-AU" baseline="0"/>
              <a:t>17,000lbs - 250kts to 17k then M0.7</a:t>
            </a:r>
            <a:endParaRPr lang="en-A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'AFM Climb'!$E$2</c:f>
              <c:strCache>
                <c:ptCount val="1"/>
                <c:pt idx="0">
                  <c:v>Clim Rate (fpm)</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layout>
                <c:manualLayout>
                  <c:x val="-0.33965138864451139"/>
                  <c:y val="-0.1900177825495720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'AFM Climb'!$A$3:$A$25</c:f>
              <c:numCache>
                <c:formatCode>0.0</c:formatCode>
                <c:ptCount val="23"/>
                <c:pt idx="0">
                  <c:v>45000</c:v>
                </c:pt>
                <c:pt idx="1">
                  <c:v>43000</c:v>
                </c:pt>
                <c:pt idx="2">
                  <c:v>41000</c:v>
                </c:pt>
                <c:pt idx="3">
                  <c:v>39000</c:v>
                </c:pt>
                <c:pt idx="4">
                  <c:v>37000</c:v>
                </c:pt>
                <c:pt idx="5">
                  <c:v>35000</c:v>
                </c:pt>
                <c:pt idx="6">
                  <c:v>33000</c:v>
                </c:pt>
                <c:pt idx="7">
                  <c:v>31000</c:v>
                </c:pt>
                <c:pt idx="8">
                  <c:v>29000</c:v>
                </c:pt>
                <c:pt idx="9">
                  <c:v>27000</c:v>
                </c:pt>
                <c:pt idx="10">
                  <c:v>25000</c:v>
                </c:pt>
                <c:pt idx="11">
                  <c:v>23000</c:v>
                </c:pt>
                <c:pt idx="12">
                  <c:v>21000</c:v>
                </c:pt>
                <c:pt idx="13">
                  <c:v>19000</c:v>
                </c:pt>
                <c:pt idx="14">
                  <c:v>17000</c:v>
                </c:pt>
                <c:pt idx="15">
                  <c:v>15000</c:v>
                </c:pt>
                <c:pt idx="16">
                  <c:v>13000</c:v>
                </c:pt>
                <c:pt idx="17">
                  <c:v>11000</c:v>
                </c:pt>
                <c:pt idx="18">
                  <c:v>9000</c:v>
                </c:pt>
                <c:pt idx="19">
                  <c:v>7000</c:v>
                </c:pt>
                <c:pt idx="20">
                  <c:v>5000</c:v>
                </c:pt>
                <c:pt idx="21">
                  <c:v>3000</c:v>
                </c:pt>
                <c:pt idx="22">
                  <c:v>1000</c:v>
                </c:pt>
              </c:numCache>
            </c:numRef>
          </c:xVal>
          <c:yVal>
            <c:numRef>
              <c:f>'AFM Climb'!$AB$3:$AB$25</c:f>
              <c:numCache>
                <c:formatCode>0.0</c:formatCode>
                <c:ptCount val="23"/>
                <c:pt idx="0">
                  <c:v>155.0387596899225</c:v>
                </c:pt>
                <c:pt idx="1">
                  <c:v>444.44444444444446</c:v>
                </c:pt>
                <c:pt idx="2">
                  <c:v>740.74074074074099</c:v>
                </c:pt>
                <c:pt idx="3">
                  <c:v>1052.6315789473683</c:v>
                </c:pt>
                <c:pt idx="4">
                  <c:v>1428.5714285714282</c:v>
                </c:pt>
                <c:pt idx="5">
                  <c:v>1666.6666666666677</c:v>
                </c:pt>
                <c:pt idx="6">
                  <c:v>1428.5714285714282</c:v>
                </c:pt>
                <c:pt idx="7">
                  <c:v>1666.6666666666652</c:v>
                </c:pt>
                <c:pt idx="8">
                  <c:v>1818.1818181818187</c:v>
                </c:pt>
                <c:pt idx="9">
                  <c:v>2222.2222222222235</c:v>
                </c:pt>
                <c:pt idx="10">
                  <c:v>2222.2222222222213</c:v>
                </c:pt>
                <c:pt idx="11">
                  <c:v>2500.0000000000005</c:v>
                </c:pt>
                <c:pt idx="12">
                  <c:v>2857.1428571428564</c:v>
                </c:pt>
                <c:pt idx="13">
                  <c:v>2857.1428571428564</c:v>
                </c:pt>
                <c:pt idx="14">
                  <c:v>3333.3333333333353</c:v>
                </c:pt>
                <c:pt idx="15">
                  <c:v>3333.333333333333</c:v>
                </c:pt>
                <c:pt idx="16">
                  <c:v>3333.333333333333</c:v>
                </c:pt>
                <c:pt idx="17">
                  <c:v>3333.3333333333353</c:v>
                </c:pt>
                <c:pt idx="18">
                  <c:v>3999.9999999999982</c:v>
                </c:pt>
                <c:pt idx="19">
                  <c:v>4000</c:v>
                </c:pt>
                <c:pt idx="20">
                  <c:v>4000</c:v>
                </c:pt>
                <c:pt idx="21">
                  <c:v>4000.0000000000005</c:v>
                </c:pt>
                <c:pt idx="22">
                  <c:v>5000</c:v>
                </c:pt>
              </c:numCache>
            </c:numRef>
          </c:yVal>
          <c:smooth val="0"/>
          <c:extLst>
            <c:ext xmlns:c16="http://schemas.microsoft.com/office/drawing/2014/chart" uri="{C3380CC4-5D6E-409C-BE32-E72D297353CC}">
              <c16:uniqueId val="{00000001-A5C5-4984-A2A7-856E459C569A}"/>
            </c:ext>
          </c:extLst>
        </c:ser>
        <c:dLbls>
          <c:showLegendKey val="0"/>
          <c:showVal val="0"/>
          <c:showCatName val="0"/>
          <c:showSerName val="0"/>
          <c:showPercent val="0"/>
          <c:showBubbleSize val="0"/>
        </c:dLbls>
        <c:axId val="268954304"/>
        <c:axId val="268955136"/>
      </c:scatterChart>
      <c:scatterChart>
        <c:scatterStyle val="lineMarker"/>
        <c:varyColors val="0"/>
        <c:ser>
          <c:idx val="1"/>
          <c:order val="1"/>
          <c:tx>
            <c:strRef>
              <c:f>'AFM Climb'!$F$2</c:f>
              <c:strCache>
                <c:ptCount val="1"/>
                <c:pt idx="0">
                  <c:v>Climb Burn (lb/hr)</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1"/>
            <c:dispEq val="1"/>
            <c:trendlineLbl>
              <c:layout>
                <c:manualLayout>
                  <c:x val="5.6199608712277305E-2"/>
                  <c:y val="-0.424524776254011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'AFM Climb'!$A$3:$A$25</c:f>
              <c:numCache>
                <c:formatCode>0.0</c:formatCode>
                <c:ptCount val="23"/>
                <c:pt idx="0">
                  <c:v>45000</c:v>
                </c:pt>
                <c:pt idx="1">
                  <c:v>43000</c:v>
                </c:pt>
                <c:pt idx="2">
                  <c:v>41000</c:v>
                </c:pt>
                <c:pt idx="3">
                  <c:v>39000</c:v>
                </c:pt>
                <c:pt idx="4">
                  <c:v>37000</c:v>
                </c:pt>
                <c:pt idx="5">
                  <c:v>35000</c:v>
                </c:pt>
                <c:pt idx="6">
                  <c:v>33000</c:v>
                </c:pt>
                <c:pt idx="7">
                  <c:v>31000</c:v>
                </c:pt>
                <c:pt idx="8">
                  <c:v>29000</c:v>
                </c:pt>
                <c:pt idx="9">
                  <c:v>27000</c:v>
                </c:pt>
                <c:pt idx="10">
                  <c:v>25000</c:v>
                </c:pt>
                <c:pt idx="11">
                  <c:v>23000</c:v>
                </c:pt>
                <c:pt idx="12">
                  <c:v>21000</c:v>
                </c:pt>
                <c:pt idx="13">
                  <c:v>19000</c:v>
                </c:pt>
                <c:pt idx="14">
                  <c:v>17000</c:v>
                </c:pt>
                <c:pt idx="15">
                  <c:v>15000</c:v>
                </c:pt>
                <c:pt idx="16">
                  <c:v>13000</c:v>
                </c:pt>
                <c:pt idx="17">
                  <c:v>11000</c:v>
                </c:pt>
                <c:pt idx="18">
                  <c:v>9000</c:v>
                </c:pt>
                <c:pt idx="19">
                  <c:v>7000</c:v>
                </c:pt>
                <c:pt idx="20">
                  <c:v>5000</c:v>
                </c:pt>
                <c:pt idx="21">
                  <c:v>3000</c:v>
                </c:pt>
                <c:pt idx="22">
                  <c:v>1000</c:v>
                </c:pt>
              </c:numCache>
            </c:numRef>
          </c:xVal>
          <c:yVal>
            <c:numRef>
              <c:f>'AFM Climb'!$AC$3:$AC$25</c:f>
              <c:numCache>
                <c:formatCode>0.0</c:formatCode>
                <c:ptCount val="23"/>
                <c:pt idx="0">
                  <c:v>888.37209302325584</c:v>
                </c:pt>
                <c:pt idx="1">
                  <c:v>983.99999999999943</c:v>
                </c:pt>
                <c:pt idx="2">
                  <c:v>1088.8888888888891</c:v>
                </c:pt>
                <c:pt idx="3">
                  <c:v>1196.8421052631588</c:v>
                </c:pt>
                <c:pt idx="4">
                  <c:v>1345.7142857142869</c:v>
                </c:pt>
                <c:pt idx="5">
                  <c:v>1494.9999999999998</c:v>
                </c:pt>
                <c:pt idx="6">
                  <c:v>1542.8571428571424</c:v>
                </c:pt>
                <c:pt idx="7">
                  <c:v>1659.999999999998</c:v>
                </c:pt>
                <c:pt idx="8">
                  <c:v>1647.272727272727</c:v>
                </c:pt>
                <c:pt idx="9">
                  <c:v>1880.0000000000039</c:v>
                </c:pt>
                <c:pt idx="10">
                  <c:v>1799.9999999999993</c:v>
                </c:pt>
                <c:pt idx="11">
                  <c:v>1949.9999999999982</c:v>
                </c:pt>
                <c:pt idx="12">
                  <c:v>2168.5714285714289</c:v>
                </c:pt>
                <c:pt idx="13">
                  <c:v>2117.1428571428555</c:v>
                </c:pt>
                <c:pt idx="14">
                  <c:v>2420.0000000000032</c:v>
                </c:pt>
                <c:pt idx="15">
                  <c:v>2389.9999999999973</c:v>
                </c:pt>
                <c:pt idx="16">
                  <c:v>2370.0000000000014</c:v>
                </c:pt>
                <c:pt idx="17">
                  <c:v>2350.0000000000014</c:v>
                </c:pt>
                <c:pt idx="18">
                  <c:v>2819.9999999999986</c:v>
                </c:pt>
                <c:pt idx="19">
                  <c:v>2843.9999999999995</c:v>
                </c:pt>
                <c:pt idx="20">
                  <c:v>2843.9999999999995</c:v>
                </c:pt>
                <c:pt idx="21">
                  <c:v>2892.0000000000005</c:v>
                </c:pt>
                <c:pt idx="22">
                  <c:v>3630</c:v>
                </c:pt>
              </c:numCache>
            </c:numRef>
          </c:yVal>
          <c:smooth val="0"/>
          <c:extLst>
            <c:ext xmlns:c16="http://schemas.microsoft.com/office/drawing/2014/chart" uri="{C3380CC4-5D6E-409C-BE32-E72D297353CC}">
              <c16:uniqueId val="{00000003-A5C5-4984-A2A7-856E459C569A}"/>
            </c:ext>
          </c:extLst>
        </c:ser>
        <c:dLbls>
          <c:showLegendKey val="0"/>
          <c:showVal val="0"/>
          <c:showCatName val="0"/>
          <c:showSerName val="0"/>
          <c:showPercent val="0"/>
          <c:showBubbleSize val="0"/>
        </c:dLbls>
        <c:axId val="268956800"/>
        <c:axId val="282985952"/>
      </c:scatterChart>
      <c:valAx>
        <c:axId val="2689543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Altitude</a:t>
                </a:r>
                <a:r>
                  <a:rPr lang="en-AU" baseline="0"/>
                  <a:t> (ft)</a:t>
                </a:r>
                <a:endParaRPr lang="en-AU"/>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955136"/>
        <c:crosses val="autoZero"/>
        <c:crossBetween val="midCat"/>
      </c:valAx>
      <c:valAx>
        <c:axId val="268955136"/>
        <c:scaling>
          <c:orientation val="minMax"/>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Climb Rate</a:t>
                </a:r>
                <a:r>
                  <a:rPr lang="en-AU" baseline="0"/>
                  <a:t> (ft/min)</a:t>
                </a:r>
              </a:p>
              <a:p>
                <a:pPr>
                  <a:defRPr/>
                </a:pPr>
                <a:endParaRPr lang="en-A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accent1">
                <a:lumMod val="60000"/>
                <a:lumOff val="4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954304"/>
        <c:crosses val="autoZero"/>
        <c:crossBetween val="midCat"/>
      </c:valAx>
      <c:valAx>
        <c:axId val="28298595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Climb</a:t>
                </a:r>
                <a:r>
                  <a:rPr lang="en-AU" baseline="0"/>
                  <a:t> Burn (lb/hr)</a:t>
                </a:r>
                <a:endParaRPr lang="en-A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accent2">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956800"/>
        <c:crosses val="max"/>
        <c:crossBetween val="midCat"/>
      </c:valAx>
      <c:valAx>
        <c:axId val="268956800"/>
        <c:scaling>
          <c:orientation val="minMax"/>
        </c:scaling>
        <c:delete val="1"/>
        <c:axPos val="b"/>
        <c:numFmt formatCode="0.0" sourceLinked="1"/>
        <c:majorTickMark val="out"/>
        <c:minorTickMark val="none"/>
        <c:tickLblPos val="nextTo"/>
        <c:crossAx val="2829859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L35/36 MTR</a:t>
            </a:r>
            <a:r>
              <a:rPr lang="en-AU" baseline="0"/>
              <a:t> </a:t>
            </a:r>
            <a:r>
              <a:rPr lang="en-AU"/>
              <a:t>Climb</a:t>
            </a:r>
            <a:r>
              <a:rPr lang="en-AU" baseline="0"/>
              <a:t> Rate and Fuel Flow</a:t>
            </a:r>
          </a:p>
          <a:p>
            <a:pPr>
              <a:defRPr/>
            </a:pPr>
            <a:r>
              <a:rPr lang="en-AU" baseline="0"/>
              <a:t>17,000lbs - 230kts to crossover then M0.6</a:t>
            </a:r>
            <a:endParaRPr lang="en-AU"/>
          </a:p>
        </c:rich>
      </c:tx>
      <c:layout>
        <c:manualLayout>
          <c:xMode val="edge"/>
          <c:yMode val="edge"/>
          <c:x val="0.27030009402423738"/>
          <c:y val="2.923263937997137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'AFM Climb'!$E$2</c:f>
              <c:strCache>
                <c:ptCount val="1"/>
                <c:pt idx="0">
                  <c:v>Clim Rate (fpm)</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0"/>
          </c:trendline>
          <c:xVal>
            <c:numRef>
              <c:f>'AFM Climb'!$A$3:$A$25</c:f>
              <c:numCache>
                <c:formatCode>0.0</c:formatCode>
                <c:ptCount val="23"/>
                <c:pt idx="0">
                  <c:v>45000</c:v>
                </c:pt>
                <c:pt idx="1">
                  <c:v>43000</c:v>
                </c:pt>
                <c:pt idx="2">
                  <c:v>41000</c:v>
                </c:pt>
                <c:pt idx="3">
                  <c:v>39000</c:v>
                </c:pt>
                <c:pt idx="4">
                  <c:v>37000</c:v>
                </c:pt>
                <c:pt idx="5">
                  <c:v>35000</c:v>
                </c:pt>
                <c:pt idx="6">
                  <c:v>33000</c:v>
                </c:pt>
                <c:pt idx="7">
                  <c:v>31000</c:v>
                </c:pt>
                <c:pt idx="8">
                  <c:v>29000</c:v>
                </c:pt>
                <c:pt idx="9">
                  <c:v>27000</c:v>
                </c:pt>
                <c:pt idx="10">
                  <c:v>25000</c:v>
                </c:pt>
                <c:pt idx="11">
                  <c:v>23000</c:v>
                </c:pt>
                <c:pt idx="12">
                  <c:v>21000</c:v>
                </c:pt>
                <c:pt idx="13">
                  <c:v>19000</c:v>
                </c:pt>
                <c:pt idx="14">
                  <c:v>17000</c:v>
                </c:pt>
                <c:pt idx="15">
                  <c:v>15000</c:v>
                </c:pt>
                <c:pt idx="16">
                  <c:v>13000</c:v>
                </c:pt>
                <c:pt idx="17">
                  <c:v>11000</c:v>
                </c:pt>
                <c:pt idx="18">
                  <c:v>9000</c:v>
                </c:pt>
                <c:pt idx="19">
                  <c:v>7000</c:v>
                </c:pt>
                <c:pt idx="20">
                  <c:v>5000</c:v>
                </c:pt>
                <c:pt idx="21">
                  <c:v>3000</c:v>
                </c:pt>
                <c:pt idx="22">
                  <c:v>1000</c:v>
                </c:pt>
              </c:numCache>
            </c:numRef>
          </c:xVal>
          <c:yVal>
            <c:numRef>
              <c:f>'AFM Climb'!$U$3:$U$25</c:f>
              <c:numCache>
                <c:formatCode>0.0</c:formatCode>
                <c:ptCount val="23"/>
                <c:pt idx="0">
                  <c:v>1</c:v>
                </c:pt>
                <c:pt idx="1">
                  <c:v>1</c:v>
                </c:pt>
                <c:pt idx="2">
                  <c:v>1</c:v>
                </c:pt>
                <c:pt idx="3">
                  <c:v>419.45551911114921</c:v>
                </c:pt>
                <c:pt idx="4">
                  <c:v>640.85729348227255</c:v>
                </c:pt>
                <c:pt idx="5">
                  <c:v>854.26746109481348</c:v>
                </c:pt>
                <c:pt idx="6">
                  <c:v>1068.0339389284677</c:v>
                </c:pt>
                <c:pt idx="7">
                  <c:v>1299.9552089609515</c:v>
                </c:pt>
                <c:pt idx="8">
                  <c:v>1558.3802106881178</c:v>
                </c:pt>
                <c:pt idx="9">
                  <c:v>1752.4001370383569</c:v>
                </c:pt>
                <c:pt idx="10">
                  <c:v>1941.7585541195335</c:v>
                </c:pt>
                <c:pt idx="11">
                  <c:v>2112.7728443329274</c:v>
                </c:pt>
                <c:pt idx="12">
                  <c:v>2280.397645535028</c:v>
                </c:pt>
                <c:pt idx="13">
                  <c:v>2438.5949620058009</c:v>
                </c:pt>
                <c:pt idx="14">
                  <c:v>2588.1334459012401</c:v>
                </c:pt>
                <c:pt idx="15">
                  <c:v>2728.0918258288361</c:v>
                </c:pt>
                <c:pt idx="16">
                  <c:v>2860.3309427387021</c:v>
                </c:pt>
                <c:pt idx="17">
                  <c:v>2984.0632259446365</c:v>
                </c:pt>
                <c:pt idx="18">
                  <c:v>3098.107610418012</c:v>
                </c:pt>
                <c:pt idx="19">
                  <c:v>3203.6249887866438</c:v>
                </c:pt>
                <c:pt idx="20">
                  <c:v>3300.5840701543816</c:v>
                </c:pt>
                <c:pt idx="21">
                  <c:v>3384.8774574963013</c:v>
                </c:pt>
                <c:pt idx="22">
                  <c:v>3463.1991972090591</c:v>
                </c:pt>
              </c:numCache>
            </c:numRef>
          </c:yVal>
          <c:smooth val="0"/>
          <c:extLst>
            <c:ext xmlns:c16="http://schemas.microsoft.com/office/drawing/2014/chart" uri="{C3380CC4-5D6E-409C-BE32-E72D297353CC}">
              <c16:uniqueId val="{00000001-706B-4803-A480-EB35F2D9A2E9}"/>
            </c:ext>
          </c:extLst>
        </c:ser>
        <c:dLbls>
          <c:showLegendKey val="0"/>
          <c:showVal val="0"/>
          <c:showCatName val="0"/>
          <c:showSerName val="0"/>
          <c:showPercent val="0"/>
          <c:showBubbleSize val="0"/>
        </c:dLbls>
        <c:axId val="268954304"/>
        <c:axId val="268955136"/>
      </c:scatterChart>
      <c:scatterChart>
        <c:scatterStyle val="lineMarker"/>
        <c:varyColors val="0"/>
        <c:ser>
          <c:idx val="1"/>
          <c:order val="1"/>
          <c:tx>
            <c:strRef>
              <c:f>'AFM Climb'!$F$2</c:f>
              <c:strCache>
                <c:ptCount val="1"/>
                <c:pt idx="0">
                  <c:v>Climb Burn (lb/hr)</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0"/>
          </c:trendline>
          <c:xVal>
            <c:numRef>
              <c:f>'AFM Climb'!$A$3:$A$25</c:f>
              <c:numCache>
                <c:formatCode>0.0</c:formatCode>
                <c:ptCount val="23"/>
                <c:pt idx="0">
                  <c:v>45000</c:v>
                </c:pt>
                <c:pt idx="1">
                  <c:v>43000</c:v>
                </c:pt>
                <c:pt idx="2">
                  <c:v>41000</c:v>
                </c:pt>
                <c:pt idx="3">
                  <c:v>39000</c:v>
                </c:pt>
                <c:pt idx="4">
                  <c:v>37000</c:v>
                </c:pt>
                <c:pt idx="5">
                  <c:v>35000</c:v>
                </c:pt>
                <c:pt idx="6">
                  <c:v>33000</c:v>
                </c:pt>
                <c:pt idx="7">
                  <c:v>31000</c:v>
                </c:pt>
                <c:pt idx="8">
                  <c:v>29000</c:v>
                </c:pt>
                <c:pt idx="9">
                  <c:v>27000</c:v>
                </c:pt>
                <c:pt idx="10">
                  <c:v>25000</c:v>
                </c:pt>
                <c:pt idx="11">
                  <c:v>23000</c:v>
                </c:pt>
                <c:pt idx="12">
                  <c:v>21000</c:v>
                </c:pt>
                <c:pt idx="13">
                  <c:v>19000</c:v>
                </c:pt>
                <c:pt idx="14">
                  <c:v>17000</c:v>
                </c:pt>
                <c:pt idx="15">
                  <c:v>15000</c:v>
                </c:pt>
                <c:pt idx="16">
                  <c:v>13000</c:v>
                </c:pt>
                <c:pt idx="17">
                  <c:v>11000</c:v>
                </c:pt>
                <c:pt idx="18">
                  <c:v>9000</c:v>
                </c:pt>
                <c:pt idx="19">
                  <c:v>7000</c:v>
                </c:pt>
                <c:pt idx="20">
                  <c:v>5000</c:v>
                </c:pt>
                <c:pt idx="21">
                  <c:v>3000</c:v>
                </c:pt>
                <c:pt idx="22">
                  <c:v>1000</c:v>
                </c:pt>
              </c:numCache>
            </c:numRef>
          </c:xVal>
          <c:yVal>
            <c:numRef>
              <c:f>'AFM Climb'!$V$3:$V$25</c:f>
              <c:numCache>
                <c:formatCode>0.0</c:formatCode>
                <c:ptCount val="23"/>
                <c:pt idx="0">
                  <c:v>1800.7249686596731</c:v>
                </c:pt>
                <c:pt idx="1">
                  <c:v>1835.7416285099982</c:v>
                </c:pt>
                <c:pt idx="2">
                  <c:v>1872.6316413650845</c:v>
                </c:pt>
                <c:pt idx="3">
                  <c:v>1911.3950072249318</c:v>
                </c:pt>
                <c:pt idx="4">
                  <c:v>1952.0317260895401</c:v>
                </c:pt>
                <c:pt idx="5">
                  <c:v>1994.5417979589095</c:v>
                </c:pt>
                <c:pt idx="6">
                  <c:v>2038.9252228330399</c:v>
                </c:pt>
                <c:pt idx="7">
                  <c:v>2085.1820007119313</c:v>
                </c:pt>
                <c:pt idx="8">
                  <c:v>2133.3121315955841</c:v>
                </c:pt>
                <c:pt idx="9">
                  <c:v>2183.315615483998</c:v>
                </c:pt>
                <c:pt idx="10">
                  <c:v>2235.1924523771722</c:v>
                </c:pt>
                <c:pt idx="11">
                  <c:v>2288.942642275108</c:v>
                </c:pt>
                <c:pt idx="12">
                  <c:v>2344.566185177805</c:v>
                </c:pt>
                <c:pt idx="13">
                  <c:v>2402.0630810852626</c:v>
                </c:pt>
                <c:pt idx="14">
                  <c:v>2461.4333299974815</c:v>
                </c:pt>
                <c:pt idx="15">
                  <c:v>2522.6769319144614</c:v>
                </c:pt>
                <c:pt idx="16">
                  <c:v>2585.7938868362025</c:v>
                </c:pt>
                <c:pt idx="17">
                  <c:v>2650.7841947627048</c:v>
                </c:pt>
                <c:pt idx="18">
                  <c:v>2717.6478556939678</c:v>
                </c:pt>
                <c:pt idx="19">
                  <c:v>2786.384869629992</c:v>
                </c:pt>
                <c:pt idx="20">
                  <c:v>2856.9952365707773</c:v>
                </c:pt>
                <c:pt idx="21">
                  <c:v>2929.4789565163233</c:v>
                </c:pt>
                <c:pt idx="22">
                  <c:v>3003.8360294666309</c:v>
                </c:pt>
              </c:numCache>
            </c:numRef>
          </c:yVal>
          <c:smooth val="0"/>
          <c:extLst>
            <c:ext xmlns:c16="http://schemas.microsoft.com/office/drawing/2014/chart" uri="{C3380CC4-5D6E-409C-BE32-E72D297353CC}">
              <c16:uniqueId val="{00000003-706B-4803-A480-EB35F2D9A2E9}"/>
            </c:ext>
          </c:extLst>
        </c:ser>
        <c:dLbls>
          <c:showLegendKey val="0"/>
          <c:showVal val="0"/>
          <c:showCatName val="0"/>
          <c:showSerName val="0"/>
          <c:showPercent val="0"/>
          <c:showBubbleSize val="0"/>
        </c:dLbls>
        <c:axId val="268956800"/>
        <c:axId val="282985952"/>
      </c:scatterChart>
      <c:valAx>
        <c:axId val="2689543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Altitude</a:t>
                </a:r>
                <a:r>
                  <a:rPr lang="en-AU" baseline="0"/>
                  <a:t> (ft)</a:t>
                </a:r>
                <a:endParaRPr lang="en-AU"/>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955136"/>
        <c:crosses val="autoZero"/>
        <c:crossBetween val="midCat"/>
      </c:valAx>
      <c:valAx>
        <c:axId val="268955136"/>
        <c:scaling>
          <c:orientation val="minMax"/>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Climb Rate</a:t>
                </a:r>
                <a:r>
                  <a:rPr lang="en-AU" baseline="0"/>
                  <a:t> (ft/min)</a:t>
                </a:r>
              </a:p>
              <a:p>
                <a:pPr>
                  <a:defRPr/>
                </a:pPr>
                <a:endParaRPr lang="en-A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accent1">
                <a:lumMod val="60000"/>
                <a:lumOff val="4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954304"/>
        <c:crosses val="autoZero"/>
        <c:crossBetween val="midCat"/>
      </c:valAx>
      <c:valAx>
        <c:axId val="28298595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Climb</a:t>
                </a:r>
                <a:r>
                  <a:rPr lang="en-AU" baseline="0"/>
                  <a:t> Burn (lb/hr)</a:t>
                </a:r>
                <a:endParaRPr lang="en-A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accent2">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956800"/>
        <c:crosses val="max"/>
        <c:crossBetween val="midCat"/>
      </c:valAx>
      <c:valAx>
        <c:axId val="268956800"/>
        <c:scaling>
          <c:orientation val="minMax"/>
        </c:scaling>
        <c:delete val="1"/>
        <c:axPos val="b"/>
        <c:numFmt formatCode="0.0" sourceLinked="1"/>
        <c:majorTickMark val="out"/>
        <c:minorTickMark val="none"/>
        <c:tickLblPos val="nextTo"/>
        <c:crossAx val="2829859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L60</a:t>
            </a:r>
            <a:r>
              <a:rPr lang="en-AU" baseline="0"/>
              <a:t> </a:t>
            </a:r>
            <a:r>
              <a:rPr lang="en-AU"/>
              <a:t>Climb</a:t>
            </a:r>
            <a:r>
              <a:rPr lang="en-AU" baseline="0"/>
              <a:t> Rate and Fuel Flow</a:t>
            </a:r>
          </a:p>
          <a:p>
            <a:pPr>
              <a:defRPr/>
            </a:pPr>
            <a:r>
              <a:rPr lang="en-AU" baseline="0"/>
              <a:t>17,000lbs - 250kts to 17k then M0.7</a:t>
            </a:r>
            <a:endParaRPr lang="en-A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'AFM Climb'!$E$2</c:f>
              <c:strCache>
                <c:ptCount val="1"/>
                <c:pt idx="0">
                  <c:v>Clim Rate (fpm)</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layout>
                <c:manualLayout>
                  <c:x val="-0.35350343583289712"/>
                  <c:y val="-0.139407057958172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'AFM Climb'!$A$3:$A$25</c:f>
              <c:numCache>
                <c:formatCode>0.0</c:formatCode>
                <c:ptCount val="23"/>
                <c:pt idx="0">
                  <c:v>45000</c:v>
                </c:pt>
                <c:pt idx="1">
                  <c:v>43000</c:v>
                </c:pt>
                <c:pt idx="2">
                  <c:v>41000</c:v>
                </c:pt>
                <c:pt idx="3">
                  <c:v>39000</c:v>
                </c:pt>
                <c:pt idx="4">
                  <c:v>37000</c:v>
                </c:pt>
                <c:pt idx="5">
                  <c:v>35000</c:v>
                </c:pt>
                <c:pt idx="6">
                  <c:v>33000</c:v>
                </c:pt>
                <c:pt idx="7">
                  <c:v>31000</c:v>
                </c:pt>
                <c:pt idx="8">
                  <c:v>29000</c:v>
                </c:pt>
                <c:pt idx="9">
                  <c:v>27000</c:v>
                </c:pt>
                <c:pt idx="10">
                  <c:v>25000</c:v>
                </c:pt>
                <c:pt idx="11">
                  <c:v>23000</c:v>
                </c:pt>
                <c:pt idx="12">
                  <c:v>21000</c:v>
                </c:pt>
                <c:pt idx="13">
                  <c:v>19000</c:v>
                </c:pt>
                <c:pt idx="14">
                  <c:v>17000</c:v>
                </c:pt>
                <c:pt idx="15">
                  <c:v>15000</c:v>
                </c:pt>
                <c:pt idx="16">
                  <c:v>13000</c:v>
                </c:pt>
                <c:pt idx="17">
                  <c:v>11000</c:v>
                </c:pt>
                <c:pt idx="18">
                  <c:v>9000</c:v>
                </c:pt>
                <c:pt idx="19">
                  <c:v>7000</c:v>
                </c:pt>
                <c:pt idx="20">
                  <c:v>5000</c:v>
                </c:pt>
                <c:pt idx="21">
                  <c:v>3000</c:v>
                </c:pt>
                <c:pt idx="22">
                  <c:v>1000</c:v>
                </c:pt>
              </c:numCache>
            </c:numRef>
          </c:xVal>
          <c:yVal>
            <c:numRef>
              <c:f>'AFM Climb'!$AL$3:$AL$25</c:f>
              <c:numCache>
                <c:formatCode>0.0</c:formatCode>
                <c:ptCount val="23"/>
                <c:pt idx="0">
                  <c:v>-77.821011673151759</c:v>
                </c:pt>
                <c:pt idx="1">
                  <c:v>277.77777777777783</c:v>
                </c:pt>
                <c:pt idx="2">
                  <c:v>714.28571428571411</c:v>
                </c:pt>
                <c:pt idx="3">
                  <c:v>1176.4705882352946</c:v>
                </c:pt>
                <c:pt idx="4">
                  <c:v>1538.4615384615377</c:v>
                </c:pt>
                <c:pt idx="5">
                  <c:v>1818.1818181818187</c:v>
                </c:pt>
                <c:pt idx="6">
                  <c:v>1666.6666666666677</c:v>
                </c:pt>
                <c:pt idx="7">
                  <c:v>1818.1818181818187</c:v>
                </c:pt>
                <c:pt idx="8">
                  <c:v>2000</c:v>
                </c:pt>
                <c:pt idx="9">
                  <c:v>2222.2222222222213</c:v>
                </c:pt>
                <c:pt idx="10">
                  <c:v>2499.9999999999977</c:v>
                </c:pt>
                <c:pt idx="11">
                  <c:v>2500.0000000000005</c:v>
                </c:pt>
                <c:pt idx="12">
                  <c:v>2857.1428571428564</c:v>
                </c:pt>
                <c:pt idx="13">
                  <c:v>3333.3333333333353</c:v>
                </c:pt>
                <c:pt idx="14">
                  <c:v>3333.333333333333</c:v>
                </c:pt>
                <c:pt idx="15">
                  <c:v>3333.333333333333</c:v>
                </c:pt>
                <c:pt idx="16">
                  <c:v>3333.3333333333353</c:v>
                </c:pt>
                <c:pt idx="17">
                  <c:v>4000</c:v>
                </c:pt>
                <c:pt idx="18">
                  <c:v>3999.9999999999982</c:v>
                </c:pt>
                <c:pt idx="19">
                  <c:v>4000</c:v>
                </c:pt>
                <c:pt idx="20">
                  <c:v>4000</c:v>
                </c:pt>
                <c:pt idx="21">
                  <c:v>4000.0000000000005</c:v>
                </c:pt>
                <c:pt idx="22">
                  <c:v>5000</c:v>
                </c:pt>
              </c:numCache>
            </c:numRef>
          </c:yVal>
          <c:smooth val="0"/>
          <c:extLst>
            <c:ext xmlns:c16="http://schemas.microsoft.com/office/drawing/2014/chart" uri="{C3380CC4-5D6E-409C-BE32-E72D297353CC}">
              <c16:uniqueId val="{00000001-AE8B-473F-8489-5CD507961B09}"/>
            </c:ext>
          </c:extLst>
        </c:ser>
        <c:dLbls>
          <c:showLegendKey val="0"/>
          <c:showVal val="0"/>
          <c:showCatName val="0"/>
          <c:showSerName val="0"/>
          <c:showPercent val="0"/>
          <c:showBubbleSize val="0"/>
        </c:dLbls>
        <c:axId val="268954304"/>
        <c:axId val="268955136"/>
      </c:scatterChart>
      <c:scatterChart>
        <c:scatterStyle val="lineMarker"/>
        <c:varyColors val="0"/>
        <c:ser>
          <c:idx val="1"/>
          <c:order val="1"/>
          <c:tx>
            <c:strRef>
              <c:f>'AFM Climb'!$F$2</c:f>
              <c:strCache>
                <c:ptCount val="1"/>
                <c:pt idx="0">
                  <c:v>Climb Burn (lb/hr)</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1"/>
            <c:dispEq val="1"/>
            <c:trendlineLbl>
              <c:layout>
                <c:manualLayout>
                  <c:x val="1.093793968823204E-2"/>
                  <c:y val="-0.2993003716767396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'AFM Climb'!$A$3:$A$25</c:f>
              <c:numCache>
                <c:formatCode>0.0</c:formatCode>
                <c:ptCount val="23"/>
                <c:pt idx="0">
                  <c:v>45000</c:v>
                </c:pt>
                <c:pt idx="1">
                  <c:v>43000</c:v>
                </c:pt>
                <c:pt idx="2">
                  <c:v>41000</c:v>
                </c:pt>
                <c:pt idx="3">
                  <c:v>39000</c:v>
                </c:pt>
                <c:pt idx="4">
                  <c:v>37000</c:v>
                </c:pt>
                <c:pt idx="5">
                  <c:v>35000</c:v>
                </c:pt>
                <c:pt idx="6">
                  <c:v>33000</c:v>
                </c:pt>
                <c:pt idx="7">
                  <c:v>31000</c:v>
                </c:pt>
                <c:pt idx="8">
                  <c:v>29000</c:v>
                </c:pt>
                <c:pt idx="9">
                  <c:v>27000</c:v>
                </c:pt>
                <c:pt idx="10">
                  <c:v>25000</c:v>
                </c:pt>
                <c:pt idx="11">
                  <c:v>23000</c:v>
                </c:pt>
                <c:pt idx="12">
                  <c:v>21000</c:v>
                </c:pt>
                <c:pt idx="13">
                  <c:v>19000</c:v>
                </c:pt>
                <c:pt idx="14">
                  <c:v>17000</c:v>
                </c:pt>
                <c:pt idx="15">
                  <c:v>15000</c:v>
                </c:pt>
                <c:pt idx="16">
                  <c:v>13000</c:v>
                </c:pt>
                <c:pt idx="17">
                  <c:v>11000</c:v>
                </c:pt>
                <c:pt idx="18">
                  <c:v>9000</c:v>
                </c:pt>
                <c:pt idx="19">
                  <c:v>7000</c:v>
                </c:pt>
                <c:pt idx="20">
                  <c:v>5000</c:v>
                </c:pt>
                <c:pt idx="21">
                  <c:v>3000</c:v>
                </c:pt>
                <c:pt idx="22">
                  <c:v>1000</c:v>
                </c:pt>
              </c:numCache>
            </c:numRef>
          </c:xVal>
          <c:yVal>
            <c:numRef>
              <c:f>'AFM Climb'!$AM$3:$AM$25</c:f>
              <c:numCache>
                <c:formatCode>0.0</c:formatCode>
                <c:ptCount val="23"/>
                <c:pt idx="0">
                  <c:v>1852.0622568093386</c:v>
                </c:pt>
                <c:pt idx="1">
                  <c:v>1210.833333333333</c:v>
                </c:pt>
                <c:pt idx="2">
                  <c:v>1309.2857142857144</c:v>
                </c:pt>
                <c:pt idx="3">
                  <c:v>1542.3529411764689</c:v>
                </c:pt>
                <c:pt idx="4">
                  <c:v>1587.6923076923085</c:v>
                </c:pt>
                <c:pt idx="5">
                  <c:v>1734.5454545454556</c:v>
                </c:pt>
                <c:pt idx="6">
                  <c:v>1905.0000000000023</c:v>
                </c:pt>
                <c:pt idx="7">
                  <c:v>2007.2727272727254</c:v>
                </c:pt>
                <c:pt idx="8">
                  <c:v>2004.000000000002</c:v>
                </c:pt>
                <c:pt idx="9">
                  <c:v>2079.9999999999986</c:v>
                </c:pt>
                <c:pt idx="10">
                  <c:v>2242.4999999999964</c:v>
                </c:pt>
                <c:pt idx="11">
                  <c:v>2167.5000000000032</c:v>
                </c:pt>
                <c:pt idx="12">
                  <c:v>2399.9999999999995</c:v>
                </c:pt>
                <c:pt idx="13">
                  <c:v>2739.9999999999991</c:v>
                </c:pt>
                <c:pt idx="14">
                  <c:v>2699.9999999999995</c:v>
                </c:pt>
                <c:pt idx="15">
                  <c:v>2649.9999999999995</c:v>
                </c:pt>
                <c:pt idx="16">
                  <c:v>2630.0000000000027</c:v>
                </c:pt>
                <c:pt idx="17">
                  <c:v>3131.9999999999991</c:v>
                </c:pt>
                <c:pt idx="18">
                  <c:v>3119.9999999999986</c:v>
                </c:pt>
                <c:pt idx="19">
                  <c:v>3120</c:v>
                </c:pt>
                <c:pt idx="20">
                  <c:v>3132.0000000000009</c:v>
                </c:pt>
                <c:pt idx="21">
                  <c:v>3132</c:v>
                </c:pt>
                <c:pt idx="22">
                  <c:v>3960</c:v>
                </c:pt>
              </c:numCache>
            </c:numRef>
          </c:yVal>
          <c:smooth val="0"/>
          <c:extLst>
            <c:ext xmlns:c16="http://schemas.microsoft.com/office/drawing/2014/chart" uri="{C3380CC4-5D6E-409C-BE32-E72D297353CC}">
              <c16:uniqueId val="{00000003-AE8B-473F-8489-5CD507961B09}"/>
            </c:ext>
          </c:extLst>
        </c:ser>
        <c:dLbls>
          <c:showLegendKey val="0"/>
          <c:showVal val="0"/>
          <c:showCatName val="0"/>
          <c:showSerName val="0"/>
          <c:showPercent val="0"/>
          <c:showBubbleSize val="0"/>
        </c:dLbls>
        <c:axId val="268956800"/>
        <c:axId val="282985952"/>
      </c:scatterChart>
      <c:valAx>
        <c:axId val="2689543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Altitude</a:t>
                </a:r>
                <a:r>
                  <a:rPr lang="en-AU" baseline="0"/>
                  <a:t> (ft)</a:t>
                </a:r>
                <a:endParaRPr lang="en-AU"/>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955136"/>
        <c:crosses val="autoZero"/>
        <c:crossBetween val="midCat"/>
      </c:valAx>
      <c:valAx>
        <c:axId val="268955136"/>
        <c:scaling>
          <c:orientation val="minMax"/>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Climb Rate</a:t>
                </a:r>
                <a:r>
                  <a:rPr lang="en-AU" baseline="0"/>
                  <a:t> (ft/min)</a:t>
                </a:r>
              </a:p>
              <a:p>
                <a:pPr>
                  <a:defRPr/>
                </a:pPr>
                <a:endParaRPr lang="en-A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accent1">
                <a:lumMod val="60000"/>
                <a:lumOff val="4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954304"/>
        <c:crosses val="autoZero"/>
        <c:crossBetween val="midCat"/>
      </c:valAx>
      <c:valAx>
        <c:axId val="28298595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Climb</a:t>
                </a:r>
                <a:r>
                  <a:rPr lang="en-AU" baseline="0"/>
                  <a:t> Burn (lb/hr)</a:t>
                </a:r>
                <a:endParaRPr lang="en-A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accent2">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956800"/>
        <c:crosses val="max"/>
        <c:crossBetween val="midCat"/>
      </c:valAx>
      <c:valAx>
        <c:axId val="268956800"/>
        <c:scaling>
          <c:orientation val="minMax"/>
        </c:scaling>
        <c:delete val="1"/>
        <c:axPos val="b"/>
        <c:numFmt formatCode="0.0" sourceLinked="1"/>
        <c:majorTickMark val="out"/>
        <c:minorTickMark val="none"/>
        <c:tickLblPos val="nextTo"/>
        <c:crossAx val="2829859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172492874449889"/>
          <c:y val="8.3406793634608123E-2"/>
          <c:w val="0.71419685039370073"/>
          <c:h val="0.83972695298618416"/>
        </c:manualLayout>
      </c:layout>
      <c:lineChart>
        <c:grouping val="standard"/>
        <c:varyColors val="0"/>
        <c:ser>
          <c:idx val="0"/>
          <c:order val="0"/>
          <c:tx>
            <c:strRef>
              <c:f>'AFMl35 cruise'!$A$85</c:f>
              <c:strCache>
                <c:ptCount val="1"/>
                <c:pt idx="0">
                  <c:v>18000</c:v>
                </c:pt>
              </c:strCache>
            </c:strRef>
          </c:tx>
          <c:spPr>
            <a:ln w="28575" cap="rnd">
              <a:solidFill>
                <a:schemeClr val="accent1"/>
              </a:solidFill>
              <a:round/>
            </a:ln>
            <a:effectLst/>
          </c:spPr>
          <c:marker>
            <c:symbol val="none"/>
          </c:marker>
          <c:cat>
            <c:numRef>
              <c:f>'AFMl35 cruise'!$B$85:$B$92</c:f>
              <c:numCache>
                <c:formatCode>General</c:formatCode>
                <c:ptCount val="8"/>
                <c:pt idx="0">
                  <c:v>45000</c:v>
                </c:pt>
                <c:pt idx="1">
                  <c:v>43000</c:v>
                </c:pt>
                <c:pt idx="2">
                  <c:v>41000</c:v>
                </c:pt>
                <c:pt idx="3">
                  <c:v>39000</c:v>
                </c:pt>
                <c:pt idx="4">
                  <c:v>37000</c:v>
                </c:pt>
                <c:pt idx="5">
                  <c:v>35000</c:v>
                </c:pt>
                <c:pt idx="6">
                  <c:v>30000</c:v>
                </c:pt>
                <c:pt idx="7">
                  <c:v>25000</c:v>
                </c:pt>
              </c:numCache>
            </c:numRef>
          </c:cat>
          <c:val>
            <c:numRef>
              <c:f>'AFMl35 cruise'!$D$85:$D$92</c:f>
              <c:numCache>
                <c:formatCode>General</c:formatCode>
                <c:ptCount val="8"/>
                <c:pt idx="5">
                  <c:v>1400</c:v>
                </c:pt>
                <c:pt idx="6">
                  <c:v>1600</c:v>
                </c:pt>
                <c:pt idx="7">
                  <c:v>1900</c:v>
                </c:pt>
              </c:numCache>
            </c:numRef>
          </c:val>
          <c:smooth val="0"/>
          <c:extLst>
            <c:ext xmlns:c16="http://schemas.microsoft.com/office/drawing/2014/chart" uri="{C3380CC4-5D6E-409C-BE32-E72D297353CC}">
              <c16:uniqueId val="{00000000-945E-47AB-964E-532CECCF0E29}"/>
            </c:ext>
          </c:extLst>
        </c:ser>
        <c:ser>
          <c:idx val="1"/>
          <c:order val="1"/>
          <c:tx>
            <c:strRef>
              <c:f>'AFMl35 cruise'!$A$95</c:f>
              <c:strCache>
                <c:ptCount val="1"/>
                <c:pt idx="0">
                  <c:v>17500</c:v>
                </c:pt>
              </c:strCache>
            </c:strRef>
          </c:tx>
          <c:spPr>
            <a:ln w="28575" cap="rnd">
              <a:solidFill>
                <a:schemeClr val="accent2"/>
              </a:solidFill>
              <a:round/>
            </a:ln>
            <a:effectLst/>
          </c:spPr>
          <c:marker>
            <c:symbol val="none"/>
          </c:marker>
          <c:cat>
            <c:numRef>
              <c:f>'AFMl35 cruise'!$B$85:$B$92</c:f>
              <c:numCache>
                <c:formatCode>General</c:formatCode>
                <c:ptCount val="8"/>
                <c:pt idx="0">
                  <c:v>45000</c:v>
                </c:pt>
                <c:pt idx="1">
                  <c:v>43000</c:v>
                </c:pt>
                <c:pt idx="2">
                  <c:v>41000</c:v>
                </c:pt>
                <c:pt idx="3">
                  <c:v>39000</c:v>
                </c:pt>
                <c:pt idx="4">
                  <c:v>37000</c:v>
                </c:pt>
                <c:pt idx="5">
                  <c:v>35000</c:v>
                </c:pt>
                <c:pt idx="6">
                  <c:v>30000</c:v>
                </c:pt>
                <c:pt idx="7">
                  <c:v>25000</c:v>
                </c:pt>
              </c:numCache>
            </c:numRef>
          </c:cat>
          <c:val>
            <c:numRef>
              <c:f>'AFMl35 cruise'!$D$95:$D$102</c:f>
              <c:numCache>
                <c:formatCode>General</c:formatCode>
                <c:ptCount val="8"/>
                <c:pt idx="5">
                  <c:v>1378</c:v>
                </c:pt>
                <c:pt idx="6">
                  <c:v>1575</c:v>
                </c:pt>
                <c:pt idx="7">
                  <c:v>1877</c:v>
                </c:pt>
              </c:numCache>
            </c:numRef>
          </c:val>
          <c:smooth val="0"/>
          <c:extLst>
            <c:ext xmlns:c16="http://schemas.microsoft.com/office/drawing/2014/chart" uri="{C3380CC4-5D6E-409C-BE32-E72D297353CC}">
              <c16:uniqueId val="{00000001-945E-47AB-964E-532CECCF0E29}"/>
            </c:ext>
          </c:extLst>
        </c:ser>
        <c:ser>
          <c:idx val="2"/>
          <c:order val="2"/>
          <c:tx>
            <c:strRef>
              <c:f>'AFMl35 cruise'!$A$105</c:f>
              <c:strCache>
                <c:ptCount val="1"/>
                <c:pt idx="0">
                  <c:v>17000</c:v>
                </c:pt>
              </c:strCache>
            </c:strRef>
          </c:tx>
          <c:spPr>
            <a:ln w="28575" cap="rnd">
              <a:solidFill>
                <a:schemeClr val="accent3"/>
              </a:solidFill>
              <a:round/>
            </a:ln>
            <a:effectLst/>
          </c:spPr>
          <c:marker>
            <c:symbol val="none"/>
          </c:marker>
          <c:val>
            <c:numRef>
              <c:f>'AFMl35 cruise'!$D$105:$D$112</c:f>
              <c:numCache>
                <c:formatCode>General</c:formatCode>
                <c:ptCount val="8"/>
                <c:pt idx="4">
                  <c:v>1292</c:v>
                </c:pt>
                <c:pt idx="5">
                  <c:v>1353</c:v>
                </c:pt>
                <c:pt idx="6">
                  <c:v>1555</c:v>
                </c:pt>
                <c:pt idx="7">
                  <c:v>1860</c:v>
                </c:pt>
              </c:numCache>
            </c:numRef>
          </c:val>
          <c:smooth val="0"/>
          <c:extLst>
            <c:ext xmlns:c16="http://schemas.microsoft.com/office/drawing/2014/chart" uri="{C3380CC4-5D6E-409C-BE32-E72D297353CC}">
              <c16:uniqueId val="{00000002-945E-47AB-964E-532CECCF0E29}"/>
            </c:ext>
          </c:extLst>
        </c:ser>
        <c:ser>
          <c:idx val="3"/>
          <c:order val="3"/>
          <c:tx>
            <c:strRef>
              <c:f>'AFMl35 cruise'!$A$114</c:f>
              <c:strCache>
                <c:ptCount val="1"/>
                <c:pt idx="0">
                  <c:v>16500</c:v>
                </c:pt>
              </c:strCache>
            </c:strRef>
          </c:tx>
          <c:spPr>
            <a:ln w="28575" cap="rnd">
              <a:solidFill>
                <a:schemeClr val="accent4"/>
              </a:solidFill>
              <a:round/>
            </a:ln>
            <a:effectLst/>
          </c:spPr>
          <c:marker>
            <c:symbol val="none"/>
          </c:marker>
          <c:val>
            <c:numRef>
              <c:f>'AFMl35 cruise'!$D$114:$D$121</c:f>
              <c:numCache>
                <c:formatCode>General</c:formatCode>
                <c:ptCount val="8"/>
                <c:pt idx="4">
                  <c:v>1265</c:v>
                </c:pt>
                <c:pt idx="5">
                  <c:v>1330</c:v>
                </c:pt>
                <c:pt idx="6">
                  <c:v>1530</c:v>
                </c:pt>
                <c:pt idx="7">
                  <c:v>1840</c:v>
                </c:pt>
              </c:numCache>
            </c:numRef>
          </c:val>
          <c:smooth val="0"/>
          <c:extLst>
            <c:ext xmlns:c16="http://schemas.microsoft.com/office/drawing/2014/chart" uri="{C3380CC4-5D6E-409C-BE32-E72D297353CC}">
              <c16:uniqueId val="{00000003-945E-47AB-964E-532CECCF0E29}"/>
            </c:ext>
          </c:extLst>
        </c:ser>
        <c:ser>
          <c:idx val="4"/>
          <c:order val="4"/>
          <c:tx>
            <c:strRef>
              <c:f>'AFMl35 cruise'!$A$123</c:f>
              <c:strCache>
                <c:ptCount val="1"/>
                <c:pt idx="0">
                  <c:v>16000</c:v>
                </c:pt>
              </c:strCache>
            </c:strRef>
          </c:tx>
          <c:spPr>
            <a:ln w="28575" cap="rnd">
              <a:solidFill>
                <a:schemeClr val="accent5"/>
              </a:solidFill>
              <a:round/>
            </a:ln>
            <a:effectLst/>
          </c:spPr>
          <c:marker>
            <c:symbol val="none"/>
          </c:marker>
          <c:val>
            <c:numRef>
              <c:f>'AFMl35 cruise'!$D$114:$D$121</c:f>
              <c:numCache>
                <c:formatCode>General</c:formatCode>
                <c:ptCount val="8"/>
                <c:pt idx="4">
                  <c:v>1265</c:v>
                </c:pt>
                <c:pt idx="5">
                  <c:v>1330</c:v>
                </c:pt>
                <c:pt idx="6">
                  <c:v>1530</c:v>
                </c:pt>
                <c:pt idx="7">
                  <c:v>1840</c:v>
                </c:pt>
              </c:numCache>
            </c:numRef>
          </c:val>
          <c:smooth val="0"/>
          <c:extLst>
            <c:ext xmlns:c16="http://schemas.microsoft.com/office/drawing/2014/chart" uri="{C3380CC4-5D6E-409C-BE32-E72D297353CC}">
              <c16:uniqueId val="{00000004-945E-47AB-964E-532CECCF0E29}"/>
            </c:ext>
          </c:extLst>
        </c:ser>
        <c:ser>
          <c:idx val="5"/>
          <c:order val="5"/>
          <c:tx>
            <c:strRef>
              <c:f>'AFMl35 cruise'!$A$132</c:f>
              <c:strCache>
                <c:ptCount val="1"/>
                <c:pt idx="0">
                  <c:v>15500</c:v>
                </c:pt>
              </c:strCache>
            </c:strRef>
          </c:tx>
          <c:spPr>
            <a:ln w="28575" cap="rnd">
              <a:solidFill>
                <a:schemeClr val="accent6"/>
              </a:solidFill>
              <a:round/>
            </a:ln>
            <a:effectLst/>
          </c:spPr>
          <c:marker>
            <c:symbol val="none"/>
          </c:marker>
          <c:val>
            <c:numRef>
              <c:f>'AFMl35 cruise'!$D$132:$D$139</c:f>
              <c:numCache>
                <c:formatCode>General</c:formatCode>
                <c:ptCount val="8"/>
                <c:pt idx="4">
                  <c:v>1220</c:v>
                </c:pt>
                <c:pt idx="5">
                  <c:v>1285</c:v>
                </c:pt>
                <c:pt idx="6">
                  <c:v>1494</c:v>
                </c:pt>
                <c:pt idx="7">
                  <c:v>1810</c:v>
                </c:pt>
              </c:numCache>
            </c:numRef>
          </c:val>
          <c:smooth val="0"/>
          <c:extLst>
            <c:ext xmlns:c16="http://schemas.microsoft.com/office/drawing/2014/chart" uri="{C3380CC4-5D6E-409C-BE32-E72D297353CC}">
              <c16:uniqueId val="{00000005-945E-47AB-964E-532CECCF0E29}"/>
            </c:ext>
          </c:extLst>
        </c:ser>
        <c:ser>
          <c:idx val="6"/>
          <c:order val="6"/>
          <c:tx>
            <c:strRef>
              <c:f>'AFMl35 cruise'!$A$141</c:f>
              <c:strCache>
                <c:ptCount val="1"/>
                <c:pt idx="0">
                  <c:v>15000</c:v>
                </c:pt>
              </c:strCache>
            </c:strRef>
          </c:tx>
          <c:spPr>
            <a:ln w="28575" cap="rnd">
              <a:solidFill>
                <a:schemeClr val="accent1">
                  <a:lumMod val="60000"/>
                </a:schemeClr>
              </a:solidFill>
              <a:round/>
            </a:ln>
            <a:effectLst/>
          </c:spPr>
          <c:marker>
            <c:symbol val="none"/>
          </c:marker>
          <c:val>
            <c:numRef>
              <c:f>'AFMl35 cruise'!$D$141:$D$148</c:f>
              <c:numCache>
                <c:formatCode>General</c:formatCode>
                <c:ptCount val="8"/>
                <c:pt idx="3">
                  <c:v>1158</c:v>
                </c:pt>
                <c:pt idx="4">
                  <c:v>1195</c:v>
                </c:pt>
                <c:pt idx="5">
                  <c:v>1265</c:v>
                </c:pt>
                <c:pt idx="6">
                  <c:v>1478</c:v>
                </c:pt>
                <c:pt idx="7">
                  <c:v>1792</c:v>
                </c:pt>
              </c:numCache>
            </c:numRef>
          </c:val>
          <c:smooth val="0"/>
          <c:extLst>
            <c:ext xmlns:c16="http://schemas.microsoft.com/office/drawing/2014/chart" uri="{C3380CC4-5D6E-409C-BE32-E72D297353CC}">
              <c16:uniqueId val="{00000006-945E-47AB-964E-532CECCF0E29}"/>
            </c:ext>
          </c:extLst>
        </c:ser>
        <c:ser>
          <c:idx val="7"/>
          <c:order val="7"/>
          <c:tx>
            <c:strRef>
              <c:f>'AFMl35 cruise'!$A$150</c:f>
              <c:strCache>
                <c:ptCount val="1"/>
                <c:pt idx="0">
                  <c:v>14500</c:v>
                </c:pt>
              </c:strCache>
            </c:strRef>
          </c:tx>
          <c:spPr>
            <a:ln w="28575" cap="rnd">
              <a:solidFill>
                <a:schemeClr val="accent2">
                  <a:lumMod val="60000"/>
                </a:schemeClr>
              </a:solidFill>
              <a:round/>
            </a:ln>
            <a:effectLst/>
          </c:spPr>
          <c:marker>
            <c:symbol val="none"/>
          </c:marker>
          <c:val>
            <c:numRef>
              <c:f>'AFMl35 cruise'!$D$150:$D$157</c:f>
              <c:numCache>
                <c:formatCode>General</c:formatCode>
                <c:ptCount val="8"/>
                <c:pt idx="3">
                  <c:v>1135</c:v>
                </c:pt>
                <c:pt idx="4">
                  <c:v>1174</c:v>
                </c:pt>
                <c:pt idx="5">
                  <c:v>1246</c:v>
                </c:pt>
                <c:pt idx="6">
                  <c:v>1460</c:v>
                </c:pt>
                <c:pt idx="7">
                  <c:v>1776</c:v>
                </c:pt>
              </c:numCache>
            </c:numRef>
          </c:val>
          <c:smooth val="0"/>
          <c:extLst>
            <c:ext xmlns:c16="http://schemas.microsoft.com/office/drawing/2014/chart" uri="{C3380CC4-5D6E-409C-BE32-E72D297353CC}">
              <c16:uniqueId val="{00000007-945E-47AB-964E-532CECCF0E29}"/>
            </c:ext>
          </c:extLst>
        </c:ser>
        <c:ser>
          <c:idx val="8"/>
          <c:order val="8"/>
          <c:tx>
            <c:strRef>
              <c:f>'AFMl35 cruise'!$A$159</c:f>
              <c:strCache>
                <c:ptCount val="1"/>
                <c:pt idx="0">
                  <c:v>14000</c:v>
                </c:pt>
              </c:strCache>
            </c:strRef>
          </c:tx>
          <c:spPr>
            <a:ln w="28575" cap="rnd">
              <a:solidFill>
                <a:schemeClr val="accent3">
                  <a:lumMod val="60000"/>
                </a:schemeClr>
              </a:solidFill>
              <a:round/>
            </a:ln>
            <a:effectLst/>
          </c:spPr>
          <c:marker>
            <c:symbol val="none"/>
          </c:marker>
          <c:val>
            <c:numRef>
              <c:f>'AFMl35 cruise'!$D$159:$D$166</c:f>
              <c:numCache>
                <c:formatCode>General</c:formatCode>
                <c:ptCount val="8"/>
                <c:pt idx="3">
                  <c:v>1110</c:v>
                </c:pt>
                <c:pt idx="4">
                  <c:v>1150</c:v>
                </c:pt>
                <c:pt idx="5">
                  <c:v>1225</c:v>
                </c:pt>
                <c:pt idx="6">
                  <c:v>1440</c:v>
                </c:pt>
                <c:pt idx="7">
                  <c:v>1760</c:v>
                </c:pt>
              </c:numCache>
            </c:numRef>
          </c:val>
          <c:smooth val="0"/>
          <c:extLst>
            <c:ext xmlns:c16="http://schemas.microsoft.com/office/drawing/2014/chart" uri="{C3380CC4-5D6E-409C-BE32-E72D297353CC}">
              <c16:uniqueId val="{00000008-945E-47AB-964E-532CECCF0E29}"/>
            </c:ext>
          </c:extLst>
        </c:ser>
        <c:dLbls>
          <c:showLegendKey val="0"/>
          <c:showVal val="0"/>
          <c:showCatName val="0"/>
          <c:showSerName val="0"/>
          <c:showPercent val="0"/>
          <c:showBubbleSize val="0"/>
        </c:dLbls>
        <c:smooth val="0"/>
        <c:axId val="1005056032"/>
        <c:axId val="1005063104"/>
      </c:lineChart>
      <c:catAx>
        <c:axId val="100505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063104"/>
        <c:crosses val="autoZero"/>
        <c:auto val="1"/>
        <c:lblAlgn val="ctr"/>
        <c:lblOffset val="100"/>
        <c:noMultiLvlLbl val="0"/>
      </c:catAx>
      <c:valAx>
        <c:axId val="1005063104"/>
        <c:scaling>
          <c:orientation val="minMax"/>
          <c:min val="1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056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L35 - Normal Cruise</a:t>
            </a:r>
            <a:r>
              <a:rPr lang="en-AU" baseline="0"/>
              <a:t> </a:t>
            </a:r>
            <a:r>
              <a:rPr lang="en-AU"/>
              <a:t>Fuel</a:t>
            </a:r>
            <a:r>
              <a:rPr lang="en-AU" baseline="0"/>
              <a:t> Flow- AFM Data @ ISA + 10</a:t>
            </a:r>
          </a:p>
          <a:p>
            <a:pPr>
              <a:defRPr/>
            </a:pPr>
            <a:r>
              <a:rPr lang="en-AU" baseline="0"/>
              <a:t>Applicable to Clean and MTR</a:t>
            </a:r>
            <a:endParaRPr lang="en-AU"/>
          </a:p>
        </c:rich>
      </c:tx>
      <c:layout>
        <c:manualLayout>
          <c:xMode val="edge"/>
          <c:yMode val="edge"/>
          <c:x val="0.25272073490813646"/>
          <c:y val="9.0573986308583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5148556430446194E-2"/>
          <c:y val="3.3701948393891519E-2"/>
          <c:w val="0.73710918635170608"/>
          <c:h val="0.92796573414105232"/>
        </c:manualLayout>
      </c:layout>
      <c:scatterChart>
        <c:scatterStyle val="lineMarker"/>
        <c:varyColors val="0"/>
        <c:ser>
          <c:idx val="0"/>
          <c:order val="0"/>
          <c:tx>
            <c:strRef>
              <c:f>'AFMl35 cruise'!$A$85</c:f>
              <c:strCache>
                <c:ptCount val="1"/>
                <c:pt idx="0">
                  <c:v>18000</c:v>
                </c:pt>
              </c:strCache>
            </c:strRef>
          </c:tx>
          <c:spPr>
            <a:ln w="25400" cap="rnd">
              <a:noFill/>
              <a:round/>
            </a:ln>
            <a:effectLst/>
          </c:spPr>
          <c:marker>
            <c:symbol val="none"/>
          </c:marker>
          <c:trendline>
            <c:name>18000</c:name>
            <c:spPr>
              <a:ln w="19050" cap="rnd">
                <a:solidFill>
                  <a:schemeClr val="accent1"/>
                </a:solidFill>
                <a:prstDash val="sysDot"/>
              </a:ln>
              <a:effectLst/>
            </c:spPr>
            <c:trendlineType val="poly"/>
            <c:order val="2"/>
            <c:dispRSqr val="0"/>
            <c:dispEq val="0"/>
          </c:trendline>
          <c:xVal>
            <c:numRef>
              <c:f>'AFMl35 cruise'!$B$90:$B$92</c:f>
              <c:numCache>
                <c:formatCode>General</c:formatCode>
                <c:ptCount val="3"/>
                <c:pt idx="0">
                  <c:v>35000</c:v>
                </c:pt>
                <c:pt idx="1">
                  <c:v>30000</c:v>
                </c:pt>
                <c:pt idx="2">
                  <c:v>25000</c:v>
                </c:pt>
              </c:numCache>
            </c:numRef>
          </c:xVal>
          <c:yVal>
            <c:numRef>
              <c:f>'AFMl35 cruise'!$D$90:$D$92</c:f>
              <c:numCache>
                <c:formatCode>General</c:formatCode>
                <c:ptCount val="3"/>
                <c:pt idx="0">
                  <c:v>1400</c:v>
                </c:pt>
                <c:pt idx="1">
                  <c:v>1600</c:v>
                </c:pt>
                <c:pt idx="2">
                  <c:v>1900</c:v>
                </c:pt>
              </c:numCache>
            </c:numRef>
          </c:yVal>
          <c:smooth val="0"/>
          <c:extLst>
            <c:ext xmlns:c16="http://schemas.microsoft.com/office/drawing/2014/chart" uri="{C3380CC4-5D6E-409C-BE32-E72D297353CC}">
              <c16:uniqueId val="{00000001-F6D8-4DAF-984D-79EAF9AC8D1B}"/>
            </c:ext>
          </c:extLst>
        </c:ser>
        <c:ser>
          <c:idx val="1"/>
          <c:order val="1"/>
          <c:tx>
            <c:strRef>
              <c:f>'AFMl35 cruise'!$A$95</c:f>
              <c:strCache>
                <c:ptCount val="1"/>
                <c:pt idx="0">
                  <c:v>17500</c:v>
                </c:pt>
              </c:strCache>
            </c:strRef>
          </c:tx>
          <c:spPr>
            <a:ln w="25400" cap="rnd">
              <a:noFill/>
              <a:round/>
            </a:ln>
            <a:effectLst/>
          </c:spPr>
          <c:marker>
            <c:symbol val="none"/>
          </c:marker>
          <c:trendline>
            <c:name>17500</c:name>
            <c:spPr>
              <a:ln w="19050" cap="rnd">
                <a:solidFill>
                  <a:schemeClr val="accent2"/>
                </a:solidFill>
                <a:prstDash val="sysDot"/>
              </a:ln>
              <a:effectLst/>
            </c:spPr>
            <c:trendlineType val="poly"/>
            <c:order val="2"/>
            <c:dispRSqr val="0"/>
            <c:dispEq val="0"/>
          </c:trendline>
          <c:xVal>
            <c:numRef>
              <c:f>'AFMl35 cruise'!$B$100:$B$102</c:f>
              <c:numCache>
                <c:formatCode>General</c:formatCode>
                <c:ptCount val="3"/>
                <c:pt idx="0">
                  <c:v>35000</c:v>
                </c:pt>
                <c:pt idx="1">
                  <c:v>30000</c:v>
                </c:pt>
                <c:pt idx="2">
                  <c:v>25000</c:v>
                </c:pt>
              </c:numCache>
            </c:numRef>
          </c:xVal>
          <c:yVal>
            <c:numRef>
              <c:f>'AFMl35 cruise'!$D$100:$D$102</c:f>
              <c:numCache>
                <c:formatCode>General</c:formatCode>
                <c:ptCount val="3"/>
                <c:pt idx="0">
                  <c:v>1378</c:v>
                </c:pt>
                <c:pt idx="1">
                  <c:v>1575</c:v>
                </c:pt>
                <c:pt idx="2">
                  <c:v>1877</c:v>
                </c:pt>
              </c:numCache>
            </c:numRef>
          </c:yVal>
          <c:smooth val="0"/>
          <c:extLst>
            <c:ext xmlns:c16="http://schemas.microsoft.com/office/drawing/2014/chart" uri="{C3380CC4-5D6E-409C-BE32-E72D297353CC}">
              <c16:uniqueId val="{00000003-F6D8-4DAF-984D-79EAF9AC8D1B}"/>
            </c:ext>
          </c:extLst>
        </c:ser>
        <c:ser>
          <c:idx val="2"/>
          <c:order val="2"/>
          <c:tx>
            <c:strRef>
              <c:f>'AFMl35 cruise'!$A$105</c:f>
              <c:strCache>
                <c:ptCount val="1"/>
                <c:pt idx="0">
                  <c:v>17000</c:v>
                </c:pt>
              </c:strCache>
            </c:strRef>
          </c:tx>
          <c:spPr>
            <a:ln w="25400" cap="rnd">
              <a:noFill/>
              <a:round/>
            </a:ln>
            <a:effectLst/>
          </c:spPr>
          <c:marker>
            <c:symbol val="none"/>
          </c:marker>
          <c:trendline>
            <c:name>17000 - USED</c:name>
            <c:spPr>
              <a:ln w="22225" cap="rnd" cmpd="thinThick">
                <a:solidFill>
                  <a:schemeClr val="tx1"/>
                </a:solidFill>
                <a:prstDash val="solid"/>
              </a:ln>
              <a:effectLst/>
            </c:spPr>
            <c:trendlineType val="poly"/>
            <c:order val="4"/>
            <c:forward val="7000"/>
            <c:backward val="5000"/>
            <c:intercept val="4000"/>
            <c:dispRSqr val="1"/>
            <c:dispEq val="1"/>
            <c:trendlineLbl>
              <c:layout>
                <c:manualLayout>
                  <c:x val="0.12685564304461941"/>
                  <c:y val="-0.3393837618638902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'AFMl35 cruise'!$B$109:$B$112</c:f>
              <c:numCache>
                <c:formatCode>General</c:formatCode>
                <c:ptCount val="4"/>
                <c:pt idx="0">
                  <c:v>37000</c:v>
                </c:pt>
                <c:pt idx="1">
                  <c:v>35000</c:v>
                </c:pt>
                <c:pt idx="2">
                  <c:v>30000</c:v>
                </c:pt>
                <c:pt idx="3">
                  <c:v>25000</c:v>
                </c:pt>
              </c:numCache>
            </c:numRef>
          </c:xVal>
          <c:yVal>
            <c:numRef>
              <c:f>'AFMl35 cruise'!$D$109:$D$112</c:f>
              <c:numCache>
                <c:formatCode>General</c:formatCode>
                <c:ptCount val="4"/>
                <c:pt idx="0">
                  <c:v>1292</c:v>
                </c:pt>
                <c:pt idx="1">
                  <c:v>1353</c:v>
                </c:pt>
                <c:pt idx="2">
                  <c:v>1555</c:v>
                </c:pt>
                <c:pt idx="3">
                  <c:v>1860</c:v>
                </c:pt>
              </c:numCache>
            </c:numRef>
          </c:yVal>
          <c:smooth val="0"/>
          <c:extLst>
            <c:ext xmlns:c16="http://schemas.microsoft.com/office/drawing/2014/chart" uri="{C3380CC4-5D6E-409C-BE32-E72D297353CC}">
              <c16:uniqueId val="{00000005-F6D8-4DAF-984D-79EAF9AC8D1B}"/>
            </c:ext>
          </c:extLst>
        </c:ser>
        <c:ser>
          <c:idx val="3"/>
          <c:order val="3"/>
          <c:tx>
            <c:strRef>
              <c:f>'AFMl35 cruise'!$A$114</c:f>
              <c:strCache>
                <c:ptCount val="1"/>
                <c:pt idx="0">
                  <c:v>16500</c:v>
                </c:pt>
              </c:strCache>
            </c:strRef>
          </c:tx>
          <c:spPr>
            <a:ln w="25400" cap="rnd">
              <a:noFill/>
              <a:round/>
            </a:ln>
            <a:effectLst/>
          </c:spPr>
          <c:marker>
            <c:symbol val="none"/>
          </c:marker>
          <c:trendline>
            <c:name>16000</c:name>
            <c:spPr>
              <a:ln w="19050" cap="rnd">
                <a:solidFill>
                  <a:schemeClr val="accent4"/>
                </a:solidFill>
                <a:prstDash val="sysDot"/>
              </a:ln>
              <a:effectLst/>
            </c:spPr>
            <c:trendlineType val="poly"/>
            <c:order val="2"/>
            <c:dispRSqr val="0"/>
            <c:dispEq val="0"/>
          </c:trendline>
          <c:xVal>
            <c:numRef>
              <c:f>'AFMl35 cruise'!$B$118:$B$121</c:f>
              <c:numCache>
                <c:formatCode>General</c:formatCode>
                <c:ptCount val="4"/>
                <c:pt idx="0">
                  <c:v>37000</c:v>
                </c:pt>
                <c:pt idx="1">
                  <c:v>35000</c:v>
                </c:pt>
                <c:pt idx="2">
                  <c:v>30000</c:v>
                </c:pt>
                <c:pt idx="3">
                  <c:v>25000</c:v>
                </c:pt>
              </c:numCache>
            </c:numRef>
          </c:xVal>
          <c:yVal>
            <c:numRef>
              <c:f>'AFMl35 cruise'!$D$118:$D$121</c:f>
              <c:numCache>
                <c:formatCode>General</c:formatCode>
                <c:ptCount val="4"/>
                <c:pt idx="0">
                  <c:v>1265</c:v>
                </c:pt>
                <c:pt idx="1">
                  <c:v>1330</c:v>
                </c:pt>
                <c:pt idx="2">
                  <c:v>1530</c:v>
                </c:pt>
                <c:pt idx="3">
                  <c:v>1840</c:v>
                </c:pt>
              </c:numCache>
            </c:numRef>
          </c:yVal>
          <c:smooth val="0"/>
          <c:extLst>
            <c:ext xmlns:c16="http://schemas.microsoft.com/office/drawing/2014/chart" uri="{C3380CC4-5D6E-409C-BE32-E72D297353CC}">
              <c16:uniqueId val="{00000007-F6D8-4DAF-984D-79EAF9AC8D1B}"/>
            </c:ext>
          </c:extLst>
        </c:ser>
        <c:ser>
          <c:idx val="4"/>
          <c:order val="4"/>
          <c:tx>
            <c:strRef>
              <c:f>'AFMl35 cruise'!$A$123</c:f>
              <c:strCache>
                <c:ptCount val="1"/>
                <c:pt idx="0">
                  <c:v>16000</c:v>
                </c:pt>
              </c:strCache>
            </c:strRef>
          </c:tx>
          <c:spPr>
            <a:ln w="25400" cap="rnd">
              <a:noFill/>
              <a:round/>
            </a:ln>
            <a:effectLst/>
          </c:spPr>
          <c:marker>
            <c:symbol val="none"/>
          </c:marker>
          <c:trendline>
            <c:name>16000</c:name>
            <c:spPr>
              <a:ln w="19050" cap="rnd">
                <a:solidFill>
                  <a:schemeClr val="accent5"/>
                </a:solidFill>
                <a:prstDash val="sysDot"/>
              </a:ln>
              <a:effectLst/>
            </c:spPr>
            <c:trendlineType val="poly"/>
            <c:order val="2"/>
            <c:dispRSqr val="0"/>
            <c:dispEq val="0"/>
          </c:trendline>
          <c:xVal>
            <c:numRef>
              <c:f>'AFMl35 cruise'!$B$127:$B$130</c:f>
              <c:numCache>
                <c:formatCode>General</c:formatCode>
                <c:ptCount val="4"/>
                <c:pt idx="0">
                  <c:v>37000</c:v>
                </c:pt>
                <c:pt idx="1">
                  <c:v>35000</c:v>
                </c:pt>
                <c:pt idx="2">
                  <c:v>30000</c:v>
                </c:pt>
                <c:pt idx="3">
                  <c:v>25000</c:v>
                </c:pt>
              </c:numCache>
            </c:numRef>
          </c:xVal>
          <c:yVal>
            <c:numRef>
              <c:f>'AFMl35 cruise'!$D$127:$D$130</c:f>
              <c:numCache>
                <c:formatCode>General</c:formatCode>
                <c:ptCount val="4"/>
                <c:pt idx="0">
                  <c:v>1240</c:v>
                </c:pt>
                <c:pt idx="1">
                  <c:v>1310</c:v>
                </c:pt>
                <c:pt idx="2">
                  <c:v>1514</c:v>
                </c:pt>
                <c:pt idx="3">
                  <c:v>1824</c:v>
                </c:pt>
              </c:numCache>
            </c:numRef>
          </c:yVal>
          <c:smooth val="0"/>
          <c:extLst>
            <c:ext xmlns:c16="http://schemas.microsoft.com/office/drawing/2014/chart" uri="{C3380CC4-5D6E-409C-BE32-E72D297353CC}">
              <c16:uniqueId val="{00000009-F6D8-4DAF-984D-79EAF9AC8D1B}"/>
            </c:ext>
          </c:extLst>
        </c:ser>
        <c:ser>
          <c:idx val="5"/>
          <c:order val="5"/>
          <c:tx>
            <c:strRef>
              <c:f>'AFMl35 cruise'!$A$132</c:f>
              <c:strCache>
                <c:ptCount val="1"/>
                <c:pt idx="0">
                  <c:v>15500</c:v>
                </c:pt>
              </c:strCache>
            </c:strRef>
          </c:tx>
          <c:spPr>
            <a:ln w="25400" cap="rnd">
              <a:noFill/>
              <a:round/>
            </a:ln>
            <a:effectLst/>
          </c:spPr>
          <c:marker>
            <c:symbol val="none"/>
          </c:marker>
          <c:trendline>
            <c:name>15500</c:name>
            <c:spPr>
              <a:ln w="19050" cap="rnd">
                <a:solidFill>
                  <a:schemeClr val="accent6"/>
                </a:solidFill>
                <a:prstDash val="sysDot"/>
              </a:ln>
              <a:effectLst/>
            </c:spPr>
            <c:trendlineType val="poly"/>
            <c:order val="2"/>
            <c:dispRSqr val="0"/>
            <c:dispEq val="0"/>
          </c:trendline>
          <c:xVal>
            <c:numRef>
              <c:f>'AFMl35 cruise'!$B$136:$B$139</c:f>
              <c:numCache>
                <c:formatCode>General</c:formatCode>
                <c:ptCount val="4"/>
                <c:pt idx="0">
                  <c:v>37000</c:v>
                </c:pt>
                <c:pt idx="1">
                  <c:v>35000</c:v>
                </c:pt>
                <c:pt idx="2">
                  <c:v>30000</c:v>
                </c:pt>
                <c:pt idx="3">
                  <c:v>25000</c:v>
                </c:pt>
              </c:numCache>
            </c:numRef>
          </c:xVal>
          <c:yVal>
            <c:numRef>
              <c:f>'AFMl35 cruise'!$D$136:$D$139</c:f>
              <c:numCache>
                <c:formatCode>General</c:formatCode>
                <c:ptCount val="4"/>
                <c:pt idx="0">
                  <c:v>1220</c:v>
                </c:pt>
                <c:pt idx="1">
                  <c:v>1285</c:v>
                </c:pt>
                <c:pt idx="2">
                  <c:v>1494</c:v>
                </c:pt>
                <c:pt idx="3">
                  <c:v>1810</c:v>
                </c:pt>
              </c:numCache>
            </c:numRef>
          </c:yVal>
          <c:smooth val="0"/>
          <c:extLst>
            <c:ext xmlns:c16="http://schemas.microsoft.com/office/drawing/2014/chart" uri="{C3380CC4-5D6E-409C-BE32-E72D297353CC}">
              <c16:uniqueId val="{0000000B-F6D8-4DAF-984D-79EAF9AC8D1B}"/>
            </c:ext>
          </c:extLst>
        </c:ser>
        <c:ser>
          <c:idx val="6"/>
          <c:order val="6"/>
          <c:tx>
            <c:strRef>
              <c:f>'AFMl35 cruise'!$A$141</c:f>
              <c:strCache>
                <c:ptCount val="1"/>
                <c:pt idx="0">
                  <c:v>15000</c:v>
                </c:pt>
              </c:strCache>
            </c:strRef>
          </c:tx>
          <c:spPr>
            <a:ln w="25400" cap="rnd">
              <a:noFill/>
              <a:round/>
            </a:ln>
            <a:effectLst/>
          </c:spPr>
          <c:marker>
            <c:symbol val="none"/>
          </c:marker>
          <c:trendline>
            <c:name>15000</c:name>
            <c:spPr>
              <a:ln w="19050" cap="rnd">
                <a:solidFill>
                  <a:schemeClr val="accent1">
                    <a:lumMod val="60000"/>
                  </a:schemeClr>
                </a:solidFill>
                <a:prstDash val="sysDot"/>
              </a:ln>
              <a:effectLst/>
            </c:spPr>
            <c:trendlineType val="poly"/>
            <c:order val="2"/>
            <c:dispRSqr val="0"/>
            <c:dispEq val="0"/>
          </c:trendline>
          <c:xVal>
            <c:numRef>
              <c:f>'AFMl35 cruise'!$B$144:$B$148</c:f>
              <c:numCache>
                <c:formatCode>General</c:formatCode>
                <c:ptCount val="5"/>
                <c:pt idx="0">
                  <c:v>39000</c:v>
                </c:pt>
                <c:pt idx="1">
                  <c:v>37000</c:v>
                </c:pt>
                <c:pt idx="2">
                  <c:v>35000</c:v>
                </c:pt>
                <c:pt idx="3">
                  <c:v>30000</c:v>
                </c:pt>
                <c:pt idx="4">
                  <c:v>25000</c:v>
                </c:pt>
              </c:numCache>
            </c:numRef>
          </c:xVal>
          <c:yVal>
            <c:numRef>
              <c:f>'AFMl35 cruise'!$D$144:$D$148</c:f>
              <c:numCache>
                <c:formatCode>General</c:formatCode>
                <c:ptCount val="5"/>
                <c:pt idx="0">
                  <c:v>1158</c:v>
                </c:pt>
                <c:pt idx="1">
                  <c:v>1195</c:v>
                </c:pt>
                <c:pt idx="2">
                  <c:v>1265</c:v>
                </c:pt>
                <c:pt idx="3">
                  <c:v>1478</c:v>
                </c:pt>
                <c:pt idx="4">
                  <c:v>1792</c:v>
                </c:pt>
              </c:numCache>
            </c:numRef>
          </c:yVal>
          <c:smooth val="0"/>
          <c:extLst>
            <c:ext xmlns:c16="http://schemas.microsoft.com/office/drawing/2014/chart" uri="{C3380CC4-5D6E-409C-BE32-E72D297353CC}">
              <c16:uniqueId val="{0000000D-F6D8-4DAF-984D-79EAF9AC8D1B}"/>
            </c:ext>
          </c:extLst>
        </c:ser>
        <c:ser>
          <c:idx val="7"/>
          <c:order val="7"/>
          <c:tx>
            <c:strRef>
              <c:f>'AFMl35 cruise'!$A$150</c:f>
              <c:strCache>
                <c:ptCount val="1"/>
                <c:pt idx="0">
                  <c:v>14500</c:v>
                </c:pt>
              </c:strCache>
            </c:strRef>
          </c:tx>
          <c:spPr>
            <a:ln w="25400" cap="rnd">
              <a:noFill/>
              <a:round/>
            </a:ln>
            <a:effectLst/>
          </c:spPr>
          <c:marker>
            <c:symbol val="none"/>
          </c:marker>
          <c:trendline>
            <c:name>14500</c:name>
            <c:spPr>
              <a:ln w="19050" cap="rnd">
                <a:solidFill>
                  <a:schemeClr val="accent2">
                    <a:lumMod val="60000"/>
                  </a:schemeClr>
                </a:solidFill>
                <a:prstDash val="sysDot"/>
              </a:ln>
              <a:effectLst/>
            </c:spPr>
            <c:trendlineType val="poly"/>
            <c:order val="2"/>
            <c:dispRSqr val="0"/>
            <c:dispEq val="0"/>
          </c:trendline>
          <c:xVal>
            <c:numRef>
              <c:f>'AFMl35 cruise'!$B$153:$B$157</c:f>
              <c:numCache>
                <c:formatCode>General</c:formatCode>
                <c:ptCount val="5"/>
                <c:pt idx="0">
                  <c:v>39000</c:v>
                </c:pt>
                <c:pt idx="1">
                  <c:v>37000</c:v>
                </c:pt>
                <c:pt idx="2">
                  <c:v>35000</c:v>
                </c:pt>
                <c:pt idx="3">
                  <c:v>30000</c:v>
                </c:pt>
                <c:pt idx="4">
                  <c:v>25000</c:v>
                </c:pt>
              </c:numCache>
            </c:numRef>
          </c:xVal>
          <c:yVal>
            <c:numRef>
              <c:f>'AFMl35 cruise'!$D$153:$D$157</c:f>
              <c:numCache>
                <c:formatCode>General</c:formatCode>
                <c:ptCount val="5"/>
                <c:pt idx="0">
                  <c:v>1135</c:v>
                </c:pt>
                <c:pt idx="1">
                  <c:v>1174</c:v>
                </c:pt>
                <c:pt idx="2">
                  <c:v>1246</c:v>
                </c:pt>
                <c:pt idx="3">
                  <c:v>1460</c:v>
                </c:pt>
                <c:pt idx="4">
                  <c:v>1776</c:v>
                </c:pt>
              </c:numCache>
            </c:numRef>
          </c:yVal>
          <c:smooth val="0"/>
          <c:extLst>
            <c:ext xmlns:c16="http://schemas.microsoft.com/office/drawing/2014/chart" uri="{C3380CC4-5D6E-409C-BE32-E72D297353CC}">
              <c16:uniqueId val="{0000000F-F6D8-4DAF-984D-79EAF9AC8D1B}"/>
            </c:ext>
          </c:extLst>
        </c:ser>
        <c:ser>
          <c:idx val="8"/>
          <c:order val="8"/>
          <c:tx>
            <c:strRef>
              <c:f>'AFMl35 cruise'!$A$159</c:f>
              <c:strCache>
                <c:ptCount val="1"/>
                <c:pt idx="0">
                  <c:v>14000</c:v>
                </c:pt>
              </c:strCache>
            </c:strRef>
          </c:tx>
          <c:spPr>
            <a:ln w="25400" cap="rnd">
              <a:noFill/>
              <a:round/>
            </a:ln>
            <a:effectLst/>
          </c:spPr>
          <c:marker>
            <c:symbol val="none"/>
          </c:marker>
          <c:trendline>
            <c:name>14000</c:name>
            <c:spPr>
              <a:ln w="19050" cap="rnd">
                <a:solidFill>
                  <a:schemeClr val="accent3">
                    <a:lumMod val="60000"/>
                  </a:schemeClr>
                </a:solidFill>
                <a:prstDash val="sysDot"/>
              </a:ln>
              <a:effectLst/>
            </c:spPr>
            <c:trendlineType val="poly"/>
            <c:order val="2"/>
            <c:dispRSqr val="0"/>
            <c:dispEq val="0"/>
          </c:trendline>
          <c:xVal>
            <c:numRef>
              <c:f>'AFMl35 cruise'!$B$162:$B$166</c:f>
              <c:numCache>
                <c:formatCode>General</c:formatCode>
                <c:ptCount val="5"/>
                <c:pt idx="0">
                  <c:v>39000</c:v>
                </c:pt>
                <c:pt idx="1">
                  <c:v>37000</c:v>
                </c:pt>
                <c:pt idx="2">
                  <c:v>35000</c:v>
                </c:pt>
                <c:pt idx="3">
                  <c:v>30000</c:v>
                </c:pt>
                <c:pt idx="4">
                  <c:v>25000</c:v>
                </c:pt>
              </c:numCache>
            </c:numRef>
          </c:xVal>
          <c:yVal>
            <c:numRef>
              <c:f>'AFMl35 cruise'!$D$162:$D$166</c:f>
              <c:numCache>
                <c:formatCode>General</c:formatCode>
                <c:ptCount val="5"/>
                <c:pt idx="0">
                  <c:v>1110</c:v>
                </c:pt>
                <c:pt idx="1">
                  <c:v>1150</c:v>
                </c:pt>
                <c:pt idx="2">
                  <c:v>1225</c:v>
                </c:pt>
                <c:pt idx="3">
                  <c:v>1440</c:v>
                </c:pt>
                <c:pt idx="4">
                  <c:v>1760</c:v>
                </c:pt>
              </c:numCache>
            </c:numRef>
          </c:yVal>
          <c:smooth val="0"/>
          <c:extLst>
            <c:ext xmlns:c16="http://schemas.microsoft.com/office/drawing/2014/chart" uri="{C3380CC4-5D6E-409C-BE32-E72D297353CC}">
              <c16:uniqueId val="{00000011-F6D8-4DAF-984D-79EAF9AC8D1B}"/>
            </c:ext>
          </c:extLst>
        </c:ser>
        <c:ser>
          <c:idx val="9"/>
          <c:order val="9"/>
          <c:tx>
            <c:strRef>
              <c:f>'Legacy Data'!$A$1</c:f>
              <c:strCache>
                <c:ptCount val="1"/>
                <c:pt idx="0">
                  <c:v>LR31</c:v>
                </c:pt>
              </c:strCache>
            </c:strRef>
          </c:tx>
          <c:spPr>
            <a:ln w="25400" cap="rnd">
              <a:noFill/>
              <a:round/>
            </a:ln>
            <a:effectLst/>
          </c:spPr>
          <c:marker>
            <c:symbol val="circle"/>
            <c:size val="5"/>
            <c:spPr>
              <a:solidFill>
                <a:schemeClr val="accent4">
                  <a:lumMod val="60000"/>
                </a:schemeClr>
              </a:solidFill>
              <a:ln w="9525">
                <a:solidFill>
                  <a:srgbClr val="FF0000"/>
                </a:solidFill>
              </a:ln>
              <a:effectLst/>
            </c:spPr>
          </c:marker>
          <c:trendline>
            <c:name>Curve Fit LR31</c:name>
            <c:spPr>
              <a:ln w="19050" cap="rnd">
                <a:solidFill>
                  <a:srgbClr val="FF0000"/>
                </a:solidFill>
                <a:prstDash val="solid"/>
              </a:ln>
              <a:effectLst/>
            </c:spPr>
            <c:trendlineType val="poly"/>
            <c:order val="6"/>
            <c:dispRSqr val="0"/>
            <c:dispEq val="0"/>
          </c:trendline>
          <c:xVal>
            <c:numRef>
              <c:f>'Legacy Data'!$A$3:$A$12</c:f>
              <c:numCache>
                <c:formatCode>General</c:formatCode>
                <c:ptCount val="10"/>
                <c:pt idx="0">
                  <c:v>43000</c:v>
                </c:pt>
                <c:pt idx="1">
                  <c:v>10000</c:v>
                </c:pt>
                <c:pt idx="2">
                  <c:v>15000</c:v>
                </c:pt>
                <c:pt idx="3">
                  <c:v>35000</c:v>
                </c:pt>
                <c:pt idx="4">
                  <c:v>5000</c:v>
                </c:pt>
                <c:pt idx="5">
                  <c:v>39000</c:v>
                </c:pt>
                <c:pt idx="6">
                  <c:v>25000</c:v>
                </c:pt>
                <c:pt idx="7">
                  <c:v>41000</c:v>
                </c:pt>
                <c:pt idx="8">
                  <c:v>30000</c:v>
                </c:pt>
                <c:pt idx="9">
                  <c:v>20000</c:v>
                </c:pt>
              </c:numCache>
            </c:numRef>
          </c:xVal>
          <c:yVal>
            <c:numRef>
              <c:f>'Legacy Data'!$D$3:$D$12</c:f>
              <c:numCache>
                <c:formatCode>General</c:formatCode>
                <c:ptCount val="10"/>
                <c:pt idx="0">
                  <c:v>1292</c:v>
                </c:pt>
                <c:pt idx="1">
                  <c:v>3000</c:v>
                </c:pt>
                <c:pt idx="2">
                  <c:v>2500</c:v>
                </c:pt>
                <c:pt idx="3">
                  <c:v>1399</c:v>
                </c:pt>
                <c:pt idx="4">
                  <c:v>3000</c:v>
                </c:pt>
                <c:pt idx="5">
                  <c:v>1325</c:v>
                </c:pt>
                <c:pt idx="6">
                  <c:v>1950</c:v>
                </c:pt>
                <c:pt idx="7">
                  <c:v>1327</c:v>
                </c:pt>
                <c:pt idx="8">
                  <c:v>1625</c:v>
                </c:pt>
                <c:pt idx="9">
                  <c:v>2000</c:v>
                </c:pt>
              </c:numCache>
            </c:numRef>
          </c:yVal>
          <c:smooth val="0"/>
          <c:extLst>
            <c:ext xmlns:c16="http://schemas.microsoft.com/office/drawing/2014/chart" uri="{C3380CC4-5D6E-409C-BE32-E72D297353CC}">
              <c16:uniqueId val="{00000013-F6D8-4DAF-984D-79EAF9AC8D1B}"/>
            </c:ext>
          </c:extLst>
        </c:ser>
        <c:ser>
          <c:idx val="10"/>
          <c:order val="10"/>
          <c:tx>
            <c:strRef>
              <c:f>'Legacy Data'!$V$1</c:f>
              <c:strCache>
                <c:ptCount val="1"/>
                <c:pt idx="0">
                  <c:v>LR35 Pod</c:v>
                </c:pt>
              </c:strCache>
            </c:strRef>
          </c:tx>
          <c:spPr>
            <a:ln w="25400" cap="rnd">
              <a:noFill/>
              <a:round/>
            </a:ln>
            <a:effectLst/>
          </c:spPr>
          <c:marker>
            <c:symbol val="circle"/>
            <c:size val="5"/>
            <c:spPr>
              <a:solidFill>
                <a:schemeClr val="accent5">
                  <a:lumMod val="60000"/>
                </a:schemeClr>
              </a:solidFill>
              <a:ln w="9525">
                <a:solidFill>
                  <a:schemeClr val="accent5">
                    <a:lumMod val="60000"/>
                  </a:schemeClr>
                </a:solidFill>
              </a:ln>
              <a:effectLst/>
            </c:spPr>
          </c:marker>
          <c:trendline>
            <c:name>Curve Fit LR35 Pod</c:name>
            <c:spPr>
              <a:ln w="19050" cap="rnd" cmpd="sng">
                <a:solidFill>
                  <a:srgbClr val="00B0F0"/>
                </a:solidFill>
                <a:prstDash val="solid"/>
              </a:ln>
              <a:effectLst/>
            </c:spPr>
            <c:trendlineType val="poly"/>
            <c:order val="2"/>
            <c:dispRSqr val="0"/>
            <c:dispEq val="0"/>
          </c:trendline>
          <c:xVal>
            <c:numRef>
              <c:f>'Legacy Data'!$V$3:$V$6</c:f>
              <c:numCache>
                <c:formatCode>General</c:formatCode>
                <c:ptCount val="4"/>
                <c:pt idx="0">
                  <c:v>10000</c:v>
                </c:pt>
                <c:pt idx="1">
                  <c:v>20000</c:v>
                </c:pt>
                <c:pt idx="2">
                  <c:v>30000</c:v>
                </c:pt>
                <c:pt idx="3">
                  <c:v>35000</c:v>
                </c:pt>
              </c:numCache>
            </c:numRef>
          </c:xVal>
          <c:yVal>
            <c:numRef>
              <c:f>'Legacy Data'!$Y$3:$Y$6</c:f>
              <c:numCache>
                <c:formatCode>General</c:formatCode>
                <c:ptCount val="4"/>
                <c:pt idx="0">
                  <c:v>1700</c:v>
                </c:pt>
                <c:pt idx="1">
                  <c:v>1600</c:v>
                </c:pt>
                <c:pt idx="2">
                  <c:v>1450</c:v>
                </c:pt>
                <c:pt idx="3">
                  <c:v>1350</c:v>
                </c:pt>
              </c:numCache>
            </c:numRef>
          </c:yVal>
          <c:smooth val="0"/>
          <c:extLst>
            <c:ext xmlns:c16="http://schemas.microsoft.com/office/drawing/2014/chart" uri="{C3380CC4-5D6E-409C-BE32-E72D297353CC}">
              <c16:uniqueId val="{00000015-F6D8-4DAF-984D-79EAF9AC8D1B}"/>
            </c:ext>
          </c:extLst>
        </c:ser>
        <c:ser>
          <c:idx val="11"/>
          <c:order val="11"/>
          <c:tx>
            <c:strRef>
              <c:f>'Legacy Data'!$AC$1</c:f>
              <c:strCache>
                <c:ptCount val="1"/>
                <c:pt idx="0">
                  <c:v>LR35</c:v>
                </c:pt>
              </c:strCache>
            </c:strRef>
          </c:tx>
          <c:spPr>
            <a:ln w="25400" cap="rnd">
              <a:noFill/>
              <a:round/>
            </a:ln>
            <a:effectLst/>
          </c:spPr>
          <c:marker>
            <c:symbol val="circle"/>
            <c:size val="5"/>
            <c:spPr>
              <a:solidFill>
                <a:schemeClr val="accent6">
                  <a:lumMod val="60000"/>
                </a:schemeClr>
              </a:solidFill>
              <a:ln w="9525">
                <a:solidFill>
                  <a:schemeClr val="accent6">
                    <a:lumMod val="60000"/>
                  </a:schemeClr>
                </a:solidFill>
              </a:ln>
              <a:effectLst/>
            </c:spPr>
          </c:marker>
          <c:trendline>
            <c:name>Curve Fit LR35</c:name>
            <c:spPr>
              <a:ln w="19050" cap="rnd">
                <a:solidFill>
                  <a:schemeClr val="accent6">
                    <a:lumMod val="60000"/>
                  </a:schemeClr>
                </a:solidFill>
                <a:prstDash val="solid"/>
              </a:ln>
              <a:effectLst/>
            </c:spPr>
            <c:trendlineType val="poly"/>
            <c:order val="4"/>
            <c:dispRSqr val="0"/>
            <c:dispEq val="0"/>
          </c:trendline>
          <c:xVal>
            <c:numRef>
              <c:f>'Legacy Data'!$AC$3:$AC$10</c:f>
              <c:numCache>
                <c:formatCode>General</c:formatCode>
                <c:ptCount val="8"/>
                <c:pt idx="0">
                  <c:v>35000</c:v>
                </c:pt>
                <c:pt idx="1">
                  <c:v>28000</c:v>
                </c:pt>
                <c:pt idx="2">
                  <c:v>40000</c:v>
                </c:pt>
                <c:pt idx="3">
                  <c:v>27000</c:v>
                </c:pt>
                <c:pt idx="4">
                  <c:v>20000</c:v>
                </c:pt>
                <c:pt idx="5">
                  <c:v>30000</c:v>
                </c:pt>
                <c:pt idx="6">
                  <c:v>2000</c:v>
                </c:pt>
                <c:pt idx="7">
                  <c:v>10000</c:v>
                </c:pt>
              </c:numCache>
            </c:numRef>
          </c:xVal>
          <c:yVal>
            <c:numRef>
              <c:f>'Legacy Data'!$AF$3:$AF$10</c:f>
              <c:numCache>
                <c:formatCode>General</c:formatCode>
                <c:ptCount val="8"/>
                <c:pt idx="0">
                  <c:v>1200</c:v>
                </c:pt>
                <c:pt idx="1">
                  <c:v>1550</c:v>
                </c:pt>
                <c:pt idx="2">
                  <c:v>1200</c:v>
                </c:pt>
                <c:pt idx="3">
                  <c:v>1550</c:v>
                </c:pt>
                <c:pt idx="4">
                  <c:v>1600</c:v>
                </c:pt>
                <c:pt idx="5">
                  <c:v>1500</c:v>
                </c:pt>
                <c:pt idx="6">
                  <c:v>1800</c:v>
                </c:pt>
                <c:pt idx="7">
                  <c:v>1700</c:v>
                </c:pt>
              </c:numCache>
            </c:numRef>
          </c:yVal>
          <c:smooth val="0"/>
          <c:extLst>
            <c:ext xmlns:c16="http://schemas.microsoft.com/office/drawing/2014/chart" uri="{C3380CC4-5D6E-409C-BE32-E72D297353CC}">
              <c16:uniqueId val="{00000017-F6D8-4DAF-984D-79EAF9AC8D1B}"/>
            </c:ext>
          </c:extLst>
        </c:ser>
        <c:ser>
          <c:idx val="12"/>
          <c:order val="12"/>
          <c:tx>
            <c:strRef>
              <c:f>'Legacy Data'!$O$1</c:f>
              <c:strCache>
                <c:ptCount val="1"/>
                <c:pt idx="0">
                  <c:v>LR31 2</c:v>
                </c:pt>
              </c:strCache>
            </c:strRef>
          </c:tx>
          <c:spPr>
            <a:ln w="25400"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trendline>
            <c:name>Curve Fit LR31 2</c:name>
            <c:spPr>
              <a:ln w="19050" cap="rnd">
                <a:solidFill>
                  <a:schemeClr val="accent1">
                    <a:lumMod val="80000"/>
                    <a:lumOff val="20000"/>
                  </a:schemeClr>
                </a:solidFill>
                <a:prstDash val="solid"/>
              </a:ln>
              <a:effectLst/>
            </c:spPr>
            <c:trendlineType val="poly"/>
            <c:order val="6"/>
            <c:dispRSqr val="0"/>
            <c:dispEq val="0"/>
          </c:trendline>
          <c:xVal>
            <c:numRef>
              <c:f>'Legacy Data'!$O$3:$O$12</c:f>
              <c:numCache>
                <c:formatCode>General</c:formatCode>
                <c:ptCount val="10"/>
                <c:pt idx="0">
                  <c:v>10000</c:v>
                </c:pt>
                <c:pt idx="1">
                  <c:v>20000</c:v>
                </c:pt>
                <c:pt idx="2">
                  <c:v>30000</c:v>
                </c:pt>
                <c:pt idx="3">
                  <c:v>47000</c:v>
                </c:pt>
                <c:pt idx="4">
                  <c:v>35000</c:v>
                </c:pt>
                <c:pt idx="5">
                  <c:v>15000</c:v>
                </c:pt>
                <c:pt idx="6">
                  <c:v>1000</c:v>
                </c:pt>
                <c:pt idx="7">
                  <c:v>25000</c:v>
                </c:pt>
                <c:pt idx="8">
                  <c:v>40000</c:v>
                </c:pt>
                <c:pt idx="9">
                  <c:v>5000</c:v>
                </c:pt>
              </c:numCache>
            </c:numRef>
          </c:xVal>
          <c:yVal>
            <c:numRef>
              <c:f>'Legacy Data'!$R$3:$R$12</c:f>
              <c:numCache>
                <c:formatCode>General</c:formatCode>
                <c:ptCount val="10"/>
                <c:pt idx="0">
                  <c:v>1154</c:v>
                </c:pt>
                <c:pt idx="1">
                  <c:v>1079</c:v>
                </c:pt>
                <c:pt idx="2">
                  <c:v>988</c:v>
                </c:pt>
                <c:pt idx="3">
                  <c:v>897</c:v>
                </c:pt>
                <c:pt idx="4">
                  <c:v>1193</c:v>
                </c:pt>
                <c:pt idx="5">
                  <c:v>1143</c:v>
                </c:pt>
                <c:pt idx="6">
                  <c:v>1290</c:v>
                </c:pt>
                <c:pt idx="7">
                  <c:v>1066</c:v>
                </c:pt>
                <c:pt idx="8">
                  <c:v>1019</c:v>
                </c:pt>
                <c:pt idx="9">
                  <c:v>1242</c:v>
                </c:pt>
              </c:numCache>
            </c:numRef>
          </c:yVal>
          <c:smooth val="0"/>
          <c:extLst>
            <c:ext xmlns:c16="http://schemas.microsoft.com/office/drawing/2014/chart" uri="{C3380CC4-5D6E-409C-BE32-E72D297353CC}">
              <c16:uniqueId val="{00000019-F6D8-4DAF-984D-79EAF9AC8D1B}"/>
            </c:ext>
          </c:extLst>
        </c:ser>
        <c:dLbls>
          <c:showLegendKey val="0"/>
          <c:showVal val="0"/>
          <c:showCatName val="0"/>
          <c:showSerName val="0"/>
          <c:showPercent val="0"/>
          <c:showBubbleSize val="0"/>
        </c:dLbls>
        <c:axId val="1005056032"/>
        <c:axId val="1005063104"/>
      </c:scatterChart>
      <c:valAx>
        <c:axId val="1005056032"/>
        <c:scaling>
          <c:orientation val="minMax"/>
          <c:min val="20000"/>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063104"/>
        <c:crosses val="autoZero"/>
        <c:crossBetween val="midCat"/>
      </c:valAx>
      <c:valAx>
        <c:axId val="1005063104"/>
        <c:scaling>
          <c:orientation val="minMax"/>
          <c:max val="2200"/>
          <c:min val="1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056032"/>
        <c:crosses val="autoZero"/>
        <c:crossBetween val="midCat"/>
      </c:valAx>
      <c:spPr>
        <a:noFill/>
        <a:ln>
          <a:noFill/>
        </a:ln>
        <a:effectLst/>
      </c:spPr>
    </c:plotArea>
    <c:legend>
      <c:legendPos val="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82459107611548554"/>
          <c:y val="0.1068955480091055"/>
          <c:w val="0.17374225721784778"/>
          <c:h val="0.604269632172755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L31 Clean - Normal Cruise</a:t>
            </a:r>
            <a:r>
              <a:rPr lang="en-AU" baseline="0"/>
              <a:t> </a:t>
            </a:r>
            <a:r>
              <a:rPr lang="en-AU"/>
              <a:t>Fuel</a:t>
            </a:r>
            <a:r>
              <a:rPr lang="en-AU" baseline="0"/>
              <a:t> Flow- AFM Data @ ISA + 10</a:t>
            </a:r>
            <a:endParaRPr lang="en-A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81522309711286E-2"/>
          <c:y val="1.8957345971563982E-2"/>
          <c:w val="0.73710918635170608"/>
          <c:h val="0.92796573414105232"/>
        </c:manualLayout>
      </c:layout>
      <c:scatterChart>
        <c:scatterStyle val="lineMarker"/>
        <c:varyColors val="0"/>
        <c:ser>
          <c:idx val="9"/>
          <c:order val="0"/>
          <c:tx>
            <c:strRef>
              <c:f>'Legacy Data'!$A$1</c:f>
              <c:strCache>
                <c:ptCount val="1"/>
                <c:pt idx="0">
                  <c:v>LR31</c:v>
                </c:pt>
              </c:strCache>
            </c:strRef>
          </c:tx>
          <c:spPr>
            <a:ln w="25400" cap="rnd">
              <a:noFill/>
              <a:round/>
            </a:ln>
            <a:effectLst/>
          </c:spPr>
          <c:marker>
            <c:symbol val="circle"/>
            <c:size val="5"/>
            <c:spPr>
              <a:solidFill>
                <a:schemeClr val="accent4">
                  <a:lumMod val="60000"/>
                </a:schemeClr>
              </a:solidFill>
              <a:ln w="9525">
                <a:solidFill>
                  <a:srgbClr val="FF0000"/>
                </a:solidFill>
              </a:ln>
              <a:effectLst/>
            </c:spPr>
          </c:marker>
          <c:trendline>
            <c:name>LJZ CURVE</c:name>
            <c:spPr>
              <a:ln w="19050" cap="rnd">
                <a:solidFill>
                  <a:srgbClr val="FF0000"/>
                </a:solidFill>
                <a:prstDash val="solid"/>
              </a:ln>
              <a:effectLst/>
            </c:spPr>
            <c:trendlineType val="poly"/>
            <c:order val="6"/>
            <c:dispRSqr val="0"/>
            <c:dispEq val="0"/>
          </c:trendline>
          <c:xVal>
            <c:numRef>
              <c:f>'Legacy Data'!$A$3:$A$12</c:f>
              <c:numCache>
                <c:formatCode>General</c:formatCode>
                <c:ptCount val="10"/>
                <c:pt idx="0">
                  <c:v>43000</c:v>
                </c:pt>
                <c:pt idx="1">
                  <c:v>10000</c:v>
                </c:pt>
                <c:pt idx="2">
                  <c:v>15000</c:v>
                </c:pt>
                <c:pt idx="3">
                  <c:v>35000</c:v>
                </c:pt>
                <c:pt idx="4">
                  <c:v>5000</c:v>
                </c:pt>
                <c:pt idx="5">
                  <c:v>39000</c:v>
                </c:pt>
                <c:pt idx="6">
                  <c:v>25000</c:v>
                </c:pt>
                <c:pt idx="7">
                  <c:v>41000</c:v>
                </c:pt>
                <c:pt idx="8">
                  <c:v>30000</c:v>
                </c:pt>
                <c:pt idx="9">
                  <c:v>20000</c:v>
                </c:pt>
              </c:numCache>
            </c:numRef>
          </c:xVal>
          <c:yVal>
            <c:numRef>
              <c:f>'Legacy Data'!$D$3:$D$12</c:f>
              <c:numCache>
                <c:formatCode>General</c:formatCode>
                <c:ptCount val="10"/>
                <c:pt idx="0">
                  <c:v>1292</c:v>
                </c:pt>
                <c:pt idx="1">
                  <c:v>3000</c:v>
                </c:pt>
                <c:pt idx="2">
                  <c:v>2500</c:v>
                </c:pt>
                <c:pt idx="3">
                  <c:v>1399</c:v>
                </c:pt>
                <c:pt idx="4">
                  <c:v>3000</c:v>
                </c:pt>
                <c:pt idx="5">
                  <c:v>1325</c:v>
                </c:pt>
                <c:pt idx="6">
                  <c:v>1950</c:v>
                </c:pt>
                <c:pt idx="7">
                  <c:v>1327</c:v>
                </c:pt>
                <c:pt idx="8">
                  <c:v>1625</c:v>
                </c:pt>
                <c:pt idx="9">
                  <c:v>2000</c:v>
                </c:pt>
              </c:numCache>
            </c:numRef>
          </c:yVal>
          <c:smooth val="0"/>
          <c:extLst>
            <c:ext xmlns:c16="http://schemas.microsoft.com/office/drawing/2014/chart" uri="{C3380CC4-5D6E-409C-BE32-E72D297353CC}">
              <c16:uniqueId val="{00000001-66C1-4194-B174-04B27A8C5C7A}"/>
            </c:ext>
          </c:extLst>
        </c:ser>
        <c:ser>
          <c:idx val="1"/>
          <c:order val="1"/>
          <c:tx>
            <c:strRef>
              <c:f>'AFMl35 cruise'!$A$95</c:f>
              <c:strCache>
                <c:ptCount val="1"/>
                <c:pt idx="0">
                  <c:v>17500</c:v>
                </c:pt>
              </c:strCache>
            </c:strRef>
          </c:tx>
          <c:spPr>
            <a:ln w="25400" cap="rnd">
              <a:noFill/>
              <a:round/>
            </a:ln>
            <a:effectLst/>
          </c:spPr>
          <c:marker>
            <c:symbol val="none"/>
          </c:marker>
          <c:trendline>
            <c:name>17500</c:name>
            <c:spPr>
              <a:ln w="19050" cap="rnd">
                <a:solidFill>
                  <a:schemeClr val="accent2"/>
                </a:solidFill>
                <a:prstDash val="sysDot"/>
              </a:ln>
              <a:effectLst/>
            </c:spPr>
            <c:trendlineType val="poly"/>
            <c:order val="2"/>
            <c:dispRSqr val="0"/>
            <c:dispEq val="0"/>
          </c:trendline>
          <c:xVal>
            <c:numRef>
              <c:f>'AFMl35 cruise'!$B$98:$B$101</c:f>
              <c:numCache>
                <c:formatCode>General</c:formatCode>
                <c:ptCount val="4"/>
                <c:pt idx="0">
                  <c:v>39000</c:v>
                </c:pt>
                <c:pt idx="1">
                  <c:v>37000</c:v>
                </c:pt>
                <c:pt idx="2">
                  <c:v>35000</c:v>
                </c:pt>
                <c:pt idx="3">
                  <c:v>30000</c:v>
                </c:pt>
              </c:numCache>
            </c:numRef>
          </c:xVal>
          <c:yVal>
            <c:numRef>
              <c:f>'AFMl35 cruise'!$J$98:$J$101</c:f>
              <c:numCache>
                <c:formatCode>General</c:formatCode>
                <c:ptCount val="4"/>
                <c:pt idx="0">
                  <c:v>1173</c:v>
                </c:pt>
                <c:pt idx="1">
                  <c:v>1223</c:v>
                </c:pt>
                <c:pt idx="2">
                  <c:v>1297</c:v>
                </c:pt>
                <c:pt idx="3">
                  <c:v>1553</c:v>
                </c:pt>
              </c:numCache>
            </c:numRef>
          </c:yVal>
          <c:smooth val="0"/>
          <c:extLst>
            <c:ext xmlns:c16="http://schemas.microsoft.com/office/drawing/2014/chart" uri="{C3380CC4-5D6E-409C-BE32-E72D297353CC}">
              <c16:uniqueId val="{00000003-66C1-4194-B174-04B27A8C5C7A}"/>
            </c:ext>
          </c:extLst>
        </c:ser>
        <c:ser>
          <c:idx val="2"/>
          <c:order val="2"/>
          <c:tx>
            <c:strRef>
              <c:f>'AFMl35 cruise'!$A$105</c:f>
              <c:strCache>
                <c:ptCount val="1"/>
                <c:pt idx="0">
                  <c:v>17000</c:v>
                </c:pt>
              </c:strCache>
            </c:strRef>
          </c:tx>
          <c:spPr>
            <a:ln w="25400" cap="rnd">
              <a:noFill/>
              <a:round/>
            </a:ln>
            <a:effectLst/>
          </c:spPr>
          <c:marker>
            <c:symbol val="none"/>
          </c:marker>
          <c:trendline>
            <c:name>17000</c:name>
            <c:spPr>
              <a:ln w="19050" cap="rnd">
                <a:solidFill>
                  <a:schemeClr val="accent3"/>
                </a:solidFill>
                <a:prstDash val="sysDot"/>
              </a:ln>
              <a:effectLst/>
            </c:spPr>
            <c:trendlineType val="poly"/>
            <c:order val="2"/>
            <c:dispRSqr val="0"/>
            <c:dispEq val="0"/>
          </c:trendline>
          <c:xVal>
            <c:numRef>
              <c:f>'AFMl35 cruise'!$B$108:$B$111</c:f>
              <c:numCache>
                <c:formatCode>General</c:formatCode>
                <c:ptCount val="4"/>
                <c:pt idx="0">
                  <c:v>39000</c:v>
                </c:pt>
                <c:pt idx="1">
                  <c:v>37000</c:v>
                </c:pt>
                <c:pt idx="2">
                  <c:v>35000</c:v>
                </c:pt>
                <c:pt idx="3">
                  <c:v>30000</c:v>
                </c:pt>
              </c:numCache>
            </c:numRef>
          </c:xVal>
          <c:yVal>
            <c:numRef>
              <c:f>'AFMl35 cruise'!$J$108:$J$111</c:f>
              <c:numCache>
                <c:formatCode>General</c:formatCode>
                <c:ptCount val="4"/>
                <c:pt idx="0">
                  <c:v>1155</c:v>
                </c:pt>
                <c:pt idx="1">
                  <c:v>1208</c:v>
                </c:pt>
                <c:pt idx="2">
                  <c:v>1284</c:v>
                </c:pt>
                <c:pt idx="3">
                  <c:v>1543</c:v>
                </c:pt>
              </c:numCache>
            </c:numRef>
          </c:yVal>
          <c:smooth val="0"/>
          <c:extLst>
            <c:ext xmlns:c16="http://schemas.microsoft.com/office/drawing/2014/chart" uri="{C3380CC4-5D6E-409C-BE32-E72D297353CC}">
              <c16:uniqueId val="{00000005-66C1-4194-B174-04B27A8C5C7A}"/>
            </c:ext>
          </c:extLst>
        </c:ser>
        <c:ser>
          <c:idx val="3"/>
          <c:order val="3"/>
          <c:tx>
            <c:strRef>
              <c:f>'AFMl35 cruise'!$A$114</c:f>
              <c:strCache>
                <c:ptCount val="1"/>
                <c:pt idx="0">
                  <c:v>16500</c:v>
                </c:pt>
              </c:strCache>
            </c:strRef>
          </c:tx>
          <c:spPr>
            <a:ln w="25400" cap="rnd">
              <a:noFill/>
              <a:round/>
            </a:ln>
            <a:effectLst/>
          </c:spPr>
          <c:marker>
            <c:symbol val="none"/>
          </c:marker>
          <c:trendline>
            <c:name>16500</c:name>
            <c:spPr>
              <a:ln w="19050" cap="rnd">
                <a:solidFill>
                  <a:schemeClr val="accent4"/>
                </a:solidFill>
                <a:prstDash val="sysDot"/>
              </a:ln>
              <a:effectLst/>
            </c:spPr>
            <c:trendlineType val="poly"/>
            <c:order val="2"/>
            <c:dispRSqr val="0"/>
            <c:dispEq val="0"/>
          </c:trendline>
          <c:xVal>
            <c:numRef>
              <c:f>'AFMl35 cruise'!$B$117:$B$120</c:f>
              <c:numCache>
                <c:formatCode>General</c:formatCode>
                <c:ptCount val="4"/>
                <c:pt idx="0">
                  <c:v>39000</c:v>
                </c:pt>
                <c:pt idx="1">
                  <c:v>37000</c:v>
                </c:pt>
                <c:pt idx="2">
                  <c:v>35000</c:v>
                </c:pt>
                <c:pt idx="3">
                  <c:v>30000</c:v>
                </c:pt>
              </c:numCache>
            </c:numRef>
          </c:xVal>
          <c:yVal>
            <c:numRef>
              <c:f>'AFMl35 cruise'!$J$117:$J$120</c:f>
              <c:numCache>
                <c:formatCode>General</c:formatCode>
                <c:ptCount val="4"/>
                <c:pt idx="0">
                  <c:v>1139</c:v>
                </c:pt>
                <c:pt idx="1">
                  <c:v>1194</c:v>
                </c:pt>
                <c:pt idx="2">
                  <c:v>1272</c:v>
                </c:pt>
                <c:pt idx="3">
                  <c:v>1534</c:v>
                </c:pt>
              </c:numCache>
            </c:numRef>
          </c:yVal>
          <c:smooth val="0"/>
          <c:extLst>
            <c:ext xmlns:c16="http://schemas.microsoft.com/office/drawing/2014/chart" uri="{C3380CC4-5D6E-409C-BE32-E72D297353CC}">
              <c16:uniqueId val="{00000007-66C1-4194-B174-04B27A8C5C7A}"/>
            </c:ext>
          </c:extLst>
        </c:ser>
        <c:ser>
          <c:idx val="4"/>
          <c:order val="4"/>
          <c:tx>
            <c:strRef>
              <c:f>'AFMl35 cruise'!$A$123</c:f>
              <c:strCache>
                <c:ptCount val="1"/>
                <c:pt idx="0">
                  <c:v>16000</c:v>
                </c:pt>
              </c:strCache>
            </c:strRef>
          </c:tx>
          <c:spPr>
            <a:ln w="25400" cap="rnd">
              <a:noFill/>
              <a:round/>
            </a:ln>
            <a:effectLst/>
          </c:spPr>
          <c:marker>
            <c:symbol val="none"/>
          </c:marker>
          <c:trendline>
            <c:name>16000</c:name>
            <c:spPr>
              <a:ln w="19050" cap="rnd">
                <a:solidFill>
                  <a:schemeClr val="accent5"/>
                </a:solidFill>
                <a:prstDash val="sysDot"/>
              </a:ln>
              <a:effectLst/>
            </c:spPr>
            <c:trendlineType val="poly"/>
            <c:order val="2"/>
            <c:dispRSqr val="0"/>
            <c:dispEq val="0"/>
          </c:trendline>
          <c:xVal>
            <c:numRef>
              <c:f>'AFMl35 cruise'!$B$125:$B$129</c:f>
              <c:numCache>
                <c:formatCode>General</c:formatCode>
                <c:ptCount val="5"/>
                <c:pt idx="0">
                  <c:v>41000</c:v>
                </c:pt>
                <c:pt idx="1">
                  <c:v>39000</c:v>
                </c:pt>
                <c:pt idx="2">
                  <c:v>37000</c:v>
                </c:pt>
                <c:pt idx="3">
                  <c:v>35000</c:v>
                </c:pt>
                <c:pt idx="4">
                  <c:v>30000</c:v>
                </c:pt>
              </c:numCache>
            </c:numRef>
          </c:xVal>
          <c:yVal>
            <c:numRef>
              <c:f>'AFMl35 cruise'!$J$125:$J$129</c:f>
              <c:numCache>
                <c:formatCode>General</c:formatCode>
                <c:ptCount val="5"/>
                <c:pt idx="0">
                  <c:v>1079</c:v>
                </c:pt>
                <c:pt idx="1">
                  <c:v>1123</c:v>
                </c:pt>
                <c:pt idx="2">
                  <c:v>1182</c:v>
                </c:pt>
                <c:pt idx="3">
                  <c:v>1261</c:v>
                </c:pt>
                <c:pt idx="4">
                  <c:v>1524</c:v>
                </c:pt>
              </c:numCache>
            </c:numRef>
          </c:yVal>
          <c:smooth val="0"/>
          <c:extLst>
            <c:ext xmlns:c16="http://schemas.microsoft.com/office/drawing/2014/chart" uri="{C3380CC4-5D6E-409C-BE32-E72D297353CC}">
              <c16:uniqueId val="{00000009-66C1-4194-B174-04B27A8C5C7A}"/>
            </c:ext>
          </c:extLst>
        </c:ser>
        <c:ser>
          <c:idx val="5"/>
          <c:order val="5"/>
          <c:tx>
            <c:strRef>
              <c:f>'AFMl35 cruise'!$A$132</c:f>
              <c:strCache>
                <c:ptCount val="1"/>
                <c:pt idx="0">
                  <c:v>15500</c:v>
                </c:pt>
              </c:strCache>
            </c:strRef>
          </c:tx>
          <c:spPr>
            <a:ln w="25400" cap="rnd">
              <a:noFill/>
              <a:round/>
            </a:ln>
            <a:effectLst/>
          </c:spPr>
          <c:marker>
            <c:symbol val="none"/>
          </c:marker>
          <c:trendline>
            <c:name>15500 USED</c:name>
            <c:spPr>
              <a:ln w="19050" cap="rnd">
                <a:solidFill>
                  <a:schemeClr val="tx1"/>
                </a:solidFill>
                <a:prstDash val="solid"/>
              </a:ln>
              <a:effectLst/>
            </c:spPr>
            <c:trendlineType val="poly"/>
            <c:order val="4"/>
            <c:forward val="5000"/>
            <c:backward val="10000"/>
            <c:intercept val="4000"/>
            <c:dispRSqr val="1"/>
            <c:dispEq val="1"/>
            <c:trendlineLbl>
              <c:layout>
                <c:manualLayout>
                  <c:x val="7.8773490813648289E-2"/>
                  <c:y val="-0.3892973094003059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'AFMl35 cruise'!$B$134:$B$138</c:f>
              <c:numCache>
                <c:formatCode>General</c:formatCode>
                <c:ptCount val="5"/>
                <c:pt idx="0">
                  <c:v>41000</c:v>
                </c:pt>
                <c:pt idx="1">
                  <c:v>39000</c:v>
                </c:pt>
                <c:pt idx="2">
                  <c:v>37000</c:v>
                </c:pt>
                <c:pt idx="3">
                  <c:v>35000</c:v>
                </c:pt>
                <c:pt idx="4">
                  <c:v>30000</c:v>
                </c:pt>
              </c:numCache>
            </c:numRef>
          </c:xVal>
          <c:yVal>
            <c:numRef>
              <c:f>'AFMl35 cruise'!$J$134:$J$138</c:f>
              <c:numCache>
                <c:formatCode>General</c:formatCode>
                <c:ptCount val="5"/>
                <c:pt idx="0">
                  <c:v>1062</c:v>
                </c:pt>
                <c:pt idx="1">
                  <c:v>1107</c:v>
                </c:pt>
                <c:pt idx="2">
                  <c:v>1170</c:v>
                </c:pt>
                <c:pt idx="3">
                  <c:v>1250</c:v>
                </c:pt>
                <c:pt idx="4">
                  <c:v>1516</c:v>
                </c:pt>
              </c:numCache>
            </c:numRef>
          </c:yVal>
          <c:smooth val="0"/>
          <c:extLst>
            <c:ext xmlns:c16="http://schemas.microsoft.com/office/drawing/2014/chart" uri="{C3380CC4-5D6E-409C-BE32-E72D297353CC}">
              <c16:uniqueId val="{0000000B-66C1-4194-B174-04B27A8C5C7A}"/>
            </c:ext>
          </c:extLst>
        </c:ser>
        <c:ser>
          <c:idx val="6"/>
          <c:order val="6"/>
          <c:tx>
            <c:strRef>
              <c:f>'AFMl35 cruise'!$A$141</c:f>
              <c:strCache>
                <c:ptCount val="1"/>
                <c:pt idx="0">
                  <c:v>15000</c:v>
                </c:pt>
              </c:strCache>
            </c:strRef>
          </c:tx>
          <c:spPr>
            <a:ln w="25400" cap="rnd">
              <a:noFill/>
              <a:round/>
            </a:ln>
            <a:effectLst/>
          </c:spPr>
          <c:marker>
            <c:symbol val="none"/>
          </c:marker>
          <c:trendline>
            <c:name>15000</c:name>
            <c:spPr>
              <a:ln w="19050" cap="rnd">
                <a:solidFill>
                  <a:schemeClr val="accent1">
                    <a:lumMod val="60000"/>
                  </a:schemeClr>
                </a:solidFill>
                <a:prstDash val="sysDot"/>
              </a:ln>
              <a:effectLst/>
            </c:spPr>
            <c:trendlineType val="poly"/>
            <c:order val="2"/>
            <c:dispRSqr val="0"/>
            <c:dispEq val="0"/>
          </c:trendline>
          <c:xVal>
            <c:numRef>
              <c:f>'AFMl35 cruise'!$B$143:$B$147</c:f>
              <c:numCache>
                <c:formatCode>General</c:formatCode>
                <c:ptCount val="5"/>
                <c:pt idx="0">
                  <c:v>41000</c:v>
                </c:pt>
                <c:pt idx="1">
                  <c:v>39000</c:v>
                </c:pt>
                <c:pt idx="2">
                  <c:v>37000</c:v>
                </c:pt>
                <c:pt idx="3">
                  <c:v>35000</c:v>
                </c:pt>
                <c:pt idx="4">
                  <c:v>30000</c:v>
                </c:pt>
              </c:numCache>
            </c:numRef>
          </c:xVal>
          <c:yVal>
            <c:numRef>
              <c:f>'AFMl35 cruise'!$J$143:$J$147</c:f>
              <c:numCache>
                <c:formatCode>General</c:formatCode>
                <c:ptCount val="5"/>
                <c:pt idx="0">
                  <c:v>1045</c:v>
                </c:pt>
                <c:pt idx="1">
                  <c:v>1094</c:v>
                </c:pt>
                <c:pt idx="2">
                  <c:v>1158</c:v>
                </c:pt>
                <c:pt idx="3">
                  <c:v>1240</c:v>
                </c:pt>
                <c:pt idx="4">
                  <c:v>1508</c:v>
                </c:pt>
              </c:numCache>
            </c:numRef>
          </c:yVal>
          <c:smooth val="0"/>
          <c:extLst>
            <c:ext xmlns:c16="http://schemas.microsoft.com/office/drawing/2014/chart" uri="{C3380CC4-5D6E-409C-BE32-E72D297353CC}">
              <c16:uniqueId val="{0000000D-66C1-4194-B174-04B27A8C5C7A}"/>
            </c:ext>
          </c:extLst>
        </c:ser>
        <c:ser>
          <c:idx val="7"/>
          <c:order val="7"/>
          <c:tx>
            <c:strRef>
              <c:f>'AFMl35 cruise'!$A$150</c:f>
              <c:strCache>
                <c:ptCount val="1"/>
                <c:pt idx="0">
                  <c:v>14500</c:v>
                </c:pt>
              </c:strCache>
            </c:strRef>
          </c:tx>
          <c:spPr>
            <a:ln w="25400" cap="rnd">
              <a:noFill/>
              <a:round/>
            </a:ln>
            <a:effectLst/>
          </c:spPr>
          <c:marker>
            <c:symbol val="none"/>
          </c:marker>
          <c:trendline>
            <c:name>14500</c:name>
            <c:spPr>
              <a:ln w="19050" cap="rnd">
                <a:solidFill>
                  <a:schemeClr val="accent2">
                    <a:lumMod val="60000"/>
                  </a:schemeClr>
                </a:solidFill>
                <a:prstDash val="sysDot"/>
              </a:ln>
              <a:effectLst/>
            </c:spPr>
            <c:trendlineType val="poly"/>
            <c:order val="2"/>
            <c:dispRSqr val="0"/>
            <c:dispEq val="0"/>
          </c:trendline>
          <c:xVal>
            <c:numRef>
              <c:f>'AFMl35 cruise'!$B$151:$B$156</c:f>
              <c:numCache>
                <c:formatCode>General</c:formatCode>
                <c:ptCount val="6"/>
                <c:pt idx="0">
                  <c:v>43000</c:v>
                </c:pt>
                <c:pt idx="1">
                  <c:v>41000</c:v>
                </c:pt>
                <c:pt idx="2">
                  <c:v>39000</c:v>
                </c:pt>
                <c:pt idx="3">
                  <c:v>37000</c:v>
                </c:pt>
                <c:pt idx="4">
                  <c:v>35000</c:v>
                </c:pt>
                <c:pt idx="5">
                  <c:v>30000</c:v>
                </c:pt>
              </c:numCache>
            </c:numRef>
          </c:xVal>
          <c:yVal>
            <c:numRef>
              <c:f>'AFMl35 cruise'!$J$151:$J$156</c:f>
              <c:numCache>
                <c:formatCode>General</c:formatCode>
                <c:ptCount val="6"/>
                <c:pt idx="0">
                  <c:v>990</c:v>
                </c:pt>
                <c:pt idx="1">
                  <c:v>1029</c:v>
                </c:pt>
                <c:pt idx="2">
                  <c:v>1082</c:v>
                </c:pt>
                <c:pt idx="3">
                  <c:v>1146</c:v>
                </c:pt>
                <c:pt idx="4">
                  <c:v>1230</c:v>
                </c:pt>
                <c:pt idx="5">
                  <c:v>1500</c:v>
                </c:pt>
              </c:numCache>
            </c:numRef>
          </c:yVal>
          <c:smooth val="0"/>
          <c:extLst>
            <c:ext xmlns:c16="http://schemas.microsoft.com/office/drawing/2014/chart" uri="{C3380CC4-5D6E-409C-BE32-E72D297353CC}">
              <c16:uniqueId val="{0000000F-66C1-4194-B174-04B27A8C5C7A}"/>
            </c:ext>
          </c:extLst>
        </c:ser>
        <c:ser>
          <c:idx val="8"/>
          <c:order val="8"/>
          <c:tx>
            <c:strRef>
              <c:f>'AFMl35 cruise'!$A$159</c:f>
              <c:strCache>
                <c:ptCount val="1"/>
                <c:pt idx="0">
                  <c:v>14000</c:v>
                </c:pt>
              </c:strCache>
            </c:strRef>
          </c:tx>
          <c:spPr>
            <a:ln w="25400" cap="rnd">
              <a:noFill/>
              <a:round/>
            </a:ln>
            <a:effectLst/>
          </c:spPr>
          <c:marker>
            <c:symbol val="none"/>
          </c:marker>
          <c:trendline>
            <c:name>14000</c:name>
            <c:spPr>
              <a:ln w="19050" cap="rnd">
                <a:solidFill>
                  <a:schemeClr val="accent1"/>
                </a:solidFill>
                <a:prstDash val="sysDot"/>
              </a:ln>
              <a:effectLst/>
            </c:spPr>
            <c:trendlineType val="poly"/>
            <c:order val="2"/>
            <c:dispRSqr val="0"/>
            <c:dispEq val="0"/>
          </c:trendline>
          <c:xVal>
            <c:numRef>
              <c:f>'AFMl35 cruise'!$B$160:$B$165</c:f>
              <c:numCache>
                <c:formatCode>General</c:formatCode>
                <c:ptCount val="6"/>
                <c:pt idx="0">
                  <c:v>43000</c:v>
                </c:pt>
                <c:pt idx="1">
                  <c:v>41000</c:v>
                </c:pt>
                <c:pt idx="2">
                  <c:v>39000</c:v>
                </c:pt>
                <c:pt idx="3">
                  <c:v>37000</c:v>
                </c:pt>
                <c:pt idx="4">
                  <c:v>35000</c:v>
                </c:pt>
                <c:pt idx="5">
                  <c:v>30000</c:v>
                </c:pt>
              </c:numCache>
            </c:numRef>
          </c:xVal>
          <c:yVal>
            <c:numRef>
              <c:f>'AFMl35 cruise'!$J$160:$J$165</c:f>
              <c:numCache>
                <c:formatCode>General</c:formatCode>
                <c:ptCount val="6"/>
                <c:pt idx="0">
                  <c:v>973</c:v>
                </c:pt>
                <c:pt idx="1">
                  <c:v>1014</c:v>
                </c:pt>
                <c:pt idx="2">
                  <c:v>1071</c:v>
                </c:pt>
                <c:pt idx="3">
                  <c:v>1136</c:v>
                </c:pt>
                <c:pt idx="4">
                  <c:v>1220</c:v>
                </c:pt>
                <c:pt idx="5">
                  <c:v>1492</c:v>
                </c:pt>
              </c:numCache>
            </c:numRef>
          </c:yVal>
          <c:smooth val="0"/>
          <c:extLst>
            <c:ext xmlns:c16="http://schemas.microsoft.com/office/drawing/2014/chart" uri="{C3380CC4-5D6E-409C-BE32-E72D297353CC}">
              <c16:uniqueId val="{00000011-66C1-4194-B174-04B27A8C5C7A}"/>
            </c:ext>
          </c:extLst>
        </c:ser>
        <c:ser>
          <c:idx val="0"/>
          <c:order val="9"/>
          <c:tx>
            <c:strRef>
              <c:f>'AFMl35 cruise'!$A$168</c:f>
              <c:strCache>
                <c:ptCount val="1"/>
                <c:pt idx="0">
                  <c:v>13500</c:v>
                </c:pt>
              </c:strCache>
            </c:strRef>
          </c:tx>
          <c:spPr>
            <a:ln w="25400" cap="rnd">
              <a:noFill/>
              <a:round/>
            </a:ln>
            <a:effectLst/>
          </c:spPr>
          <c:marker>
            <c:symbol val="none"/>
          </c:marker>
          <c:trendline>
            <c:name>13500</c:name>
            <c:spPr>
              <a:ln w="19050" cap="rnd">
                <a:solidFill>
                  <a:schemeClr val="accent1"/>
                </a:solidFill>
                <a:prstDash val="sysDot"/>
              </a:ln>
              <a:effectLst/>
            </c:spPr>
            <c:trendlineType val="poly"/>
            <c:order val="2"/>
            <c:dispRSqr val="0"/>
            <c:dispEq val="0"/>
          </c:trendline>
          <c:xVal>
            <c:numRef>
              <c:f>'AFMl35 cruise'!$B$169:$B$174</c:f>
              <c:numCache>
                <c:formatCode>General</c:formatCode>
                <c:ptCount val="6"/>
                <c:pt idx="0">
                  <c:v>43000</c:v>
                </c:pt>
                <c:pt idx="1">
                  <c:v>41000</c:v>
                </c:pt>
                <c:pt idx="2">
                  <c:v>39000</c:v>
                </c:pt>
                <c:pt idx="3">
                  <c:v>37000</c:v>
                </c:pt>
                <c:pt idx="4">
                  <c:v>35000</c:v>
                </c:pt>
                <c:pt idx="5">
                  <c:v>30000</c:v>
                </c:pt>
              </c:numCache>
            </c:numRef>
          </c:xVal>
          <c:yVal>
            <c:numRef>
              <c:f>'AFMl35 cruise'!$J$169:$J$174</c:f>
              <c:numCache>
                <c:formatCode>General</c:formatCode>
                <c:ptCount val="6"/>
                <c:pt idx="0">
                  <c:v>957</c:v>
                </c:pt>
                <c:pt idx="1">
                  <c:v>1001</c:v>
                </c:pt>
                <c:pt idx="2">
                  <c:v>1060</c:v>
                </c:pt>
                <c:pt idx="3">
                  <c:v>1126</c:v>
                </c:pt>
                <c:pt idx="4">
                  <c:v>1211</c:v>
                </c:pt>
                <c:pt idx="5">
                  <c:v>1485</c:v>
                </c:pt>
              </c:numCache>
            </c:numRef>
          </c:yVal>
          <c:smooth val="0"/>
          <c:extLst>
            <c:ext xmlns:c16="http://schemas.microsoft.com/office/drawing/2014/chart" uri="{C3380CC4-5D6E-409C-BE32-E72D297353CC}">
              <c16:uniqueId val="{00000013-66C1-4194-B174-04B27A8C5C7A}"/>
            </c:ext>
          </c:extLst>
        </c:ser>
        <c:ser>
          <c:idx val="12"/>
          <c:order val="10"/>
          <c:tx>
            <c:strRef>
              <c:f>'AFMl35 cruise'!$A$177</c:f>
              <c:strCache>
                <c:ptCount val="1"/>
                <c:pt idx="0">
                  <c:v>13000</c:v>
                </c:pt>
              </c:strCache>
            </c:strRef>
          </c:tx>
          <c:spPr>
            <a:ln w="25400" cap="rnd">
              <a:noFill/>
              <a:round/>
            </a:ln>
            <a:effectLst/>
          </c:spPr>
          <c:marker>
            <c:symbol val="none"/>
          </c:marker>
          <c:trendline>
            <c:name>13000</c:name>
            <c:spPr>
              <a:ln w="19050" cap="rnd">
                <a:solidFill>
                  <a:schemeClr val="accent1">
                    <a:lumMod val="80000"/>
                    <a:lumOff val="20000"/>
                  </a:schemeClr>
                </a:solidFill>
                <a:prstDash val="sysDot"/>
              </a:ln>
              <a:effectLst/>
            </c:spPr>
            <c:trendlineType val="poly"/>
            <c:order val="2"/>
            <c:dispRSqr val="0"/>
            <c:dispEq val="0"/>
          </c:trendline>
          <c:xVal>
            <c:numRef>
              <c:f>'AFMl35 cruise'!$B$178:$B$183</c:f>
              <c:numCache>
                <c:formatCode>General</c:formatCode>
                <c:ptCount val="6"/>
                <c:pt idx="0">
                  <c:v>43000</c:v>
                </c:pt>
                <c:pt idx="1">
                  <c:v>41000</c:v>
                </c:pt>
                <c:pt idx="2">
                  <c:v>39000</c:v>
                </c:pt>
                <c:pt idx="3">
                  <c:v>37000</c:v>
                </c:pt>
                <c:pt idx="4">
                  <c:v>35000</c:v>
                </c:pt>
                <c:pt idx="5">
                  <c:v>30000</c:v>
                </c:pt>
              </c:numCache>
            </c:numRef>
          </c:xVal>
          <c:yVal>
            <c:numRef>
              <c:f>'AFMl35 cruise'!$J$178:$J$183</c:f>
              <c:numCache>
                <c:formatCode>General</c:formatCode>
                <c:ptCount val="6"/>
                <c:pt idx="0">
                  <c:v>941</c:v>
                </c:pt>
                <c:pt idx="1">
                  <c:v>989</c:v>
                </c:pt>
                <c:pt idx="2">
                  <c:v>1049</c:v>
                </c:pt>
                <c:pt idx="3">
                  <c:v>1116</c:v>
                </c:pt>
                <c:pt idx="4">
                  <c:v>1202</c:v>
                </c:pt>
                <c:pt idx="5">
                  <c:v>1479</c:v>
                </c:pt>
              </c:numCache>
            </c:numRef>
          </c:yVal>
          <c:smooth val="0"/>
          <c:extLst>
            <c:ext xmlns:c16="http://schemas.microsoft.com/office/drawing/2014/chart" uri="{C3380CC4-5D6E-409C-BE32-E72D297353CC}">
              <c16:uniqueId val="{00000015-66C1-4194-B174-04B27A8C5C7A}"/>
            </c:ext>
          </c:extLst>
        </c:ser>
        <c:ser>
          <c:idx val="13"/>
          <c:order val="11"/>
          <c:tx>
            <c:strRef>
              <c:f>'AFMl35 cruise'!$A$186</c:f>
              <c:strCache>
                <c:ptCount val="1"/>
                <c:pt idx="0">
                  <c:v>12500</c:v>
                </c:pt>
              </c:strCache>
            </c:strRef>
          </c:tx>
          <c:spPr>
            <a:ln w="25400" cap="rnd">
              <a:noFill/>
              <a:round/>
            </a:ln>
            <a:effectLst/>
          </c:spPr>
          <c:marker>
            <c:symbol val="none"/>
          </c:marker>
          <c:trendline>
            <c:name>12500</c:name>
            <c:spPr>
              <a:ln w="19050" cap="rnd">
                <a:solidFill>
                  <a:schemeClr val="accent2">
                    <a:lumMod val="80000"/>
                    <a:lumOff val="20000"/>
                  </a:schemeClr>
                </a:solidFill>
                <a:prstDash val="sysDot"/>
              </a:ln>
              <a:effectLst/>
            </c:spPr>
            <c:trendlineType val="poly"/>
            <c:order val="2"/>
            <c:dispRSqr val="0"/>
            <c:dispEq val="0"/>
          </c:trendline>
          <c:xVal>
            <c:numRef>
              <c:f>'AFMl35 cruise'!$B$186:$B$192</c:f>
              <c:numCache>
                <c:formatCode>General</c:formatCode>
                <c:ptCount val="7"/>
                <c:pt idx="0">
                  <c:v>45000</c:v>
                </c:pt>
                <c:pt idx="1">
                  <c:v>43000</c:v>
                </c:pt>
                <c:pt idx="2">
                  <c:v>41000</c:v>
                </c:pt>
                <c:pt idx="3">
                  <c:v>39000</c:v>
                </c:pt>
                <c:pt idx="4">
                  <c:v>37000</c:v>
                </c:pt>
                <c:pt idx="5">
                  <c:v>35000</c:v>
                </c:pt>
                <c:pt idx="6">
                  <c:v>30000</c:v>
                </c:pt>
              </c:numCache>
            </c:numRef>
          </c:xVal>
          <c:yVal>
            <c:numRef>
              <c:f>'AFMl35 cruise'!$J$186:$J$192</c:f>
              <c:numCache>
                <c:formatCode>General</c:formatCode>
                <c:ptCount val="7"/>
                <c:pt idx="0">
                  <c:v>889</c:v>
                </c:pt>
                <c:pt idx="1">
                  <c:v>926</c:v>
                </c:pt>
                <c:pt idx="2">
                  <c:v>978</c:v>
                </c:pt>
                <c:pt idx="3">
                  <c:v>1039</c:v>
                </c:pt>
                <c:pt idx="4">
                  <c:v>1107</c:v>
                </c:pt>
                <c:pt idx="5">
                  <c:v>1194</c:v>
                </c:pt>
                <c:pt idx="6">
                  <c:v>1473</c:v>
                </c:pt>
              </c:numCache>
            </c:numRef>
          </c:yVal>
          <c:smooth val="0"/>
          <c:extLst>
            <c:ext xmlns:c16="http://schemas.microsoft.com/office/drawing/2014/chart" uri="{C3380CC4-5D6E-409C-BE32-E72D297353CC}">
              <c16:uniqueId val="{00000017-66C1-4194-B174-04B27A8C5C7A}"/>
            </c:ext>
          </c:extLst>
        </c:ser>
        <c:ser>
          <c:idx val="14"/>
          <c:order val="12"/>
          <c:tx>
            <c:strRef>
              <c:f>'AFMl35 cruise'!$A$195</c:f>
              <c:strCache>
                <c:ptCount val="1"/>
                <c:pt idx="0">
                  <c:v>12000</c:v>
                </c:pt>
              </c:strCache>
            </c:strRef>
          </c:tx>
          <c:spPr>
            <a:ln w="25400" cap="rnd">
              <a:noFill/>
              <a:round/>
            </a:ln>
            <a:effectLst/>
          </c:spPr>
          <c:marker>
            <c:symbol val="none"/>
          </c:marker>
          <c:trendline>
            <c:name>12000</c:name>
            <c:spPr>
              <a:ln w="19050" cap="rnd">
                <a:solidFill>
                  <a:schemeClr val="accent3">
                    <a:lumMod val="80000"/>
                    <a:lumOff val="20000"/>
                  </a:schemeClr>
                </a:solidFill>
                <a:prstDash val="sysDot"/>
              </a:ln>
              <a:effectLst/>
            </c:spPr>
            <c:trendlineType val="poly"/>
            <c:order val="2"/>
            <c:dispRSqr val="0"/>
            <c:dispEq val="0"/>
          </c:trendline>
          <c:xVal>
            <c:numRef>
              <c:f>'AFMl35 cruise'!$B$195:$B$201</c:f>
              <c:numCache>
                <c:formatCode>General</c:formatCode>
                <c:ptCount val="7"/>
                <c:pt idx="0">
                  <c:v>45000</c:v>
                </c:pt>
                <c:pt idx="1">
                  <c:v>43000</c:v>
                </c:pt>
                <c:pt idx="2">
                  <c:v>41000</c:v>
                </c:pt>
                <c:pt idx="3">
                  <c:v>39000</c:v>
                </c:pt>
                <c:pt idx="4">
                  <c:v>37000</c:v>
                </c:pt>
                <c:pt idx="5">
                  <c:v>35000</c:v>
                </c:pt>
                <c:pt idx="6">
                  <c:v>30000</c:v>
                </c:pt>
              </c:numCache>
            </c:numRef>
          </c:xVal>
          <c:yVal>
            <c:numRef>
              <c:f>'AFMl35 cruise'!$J$195:$J$201</c:f>
              <c:numCache>
                <c:formatCode>General</c:formatCode>
                <c:ptCount val="7"/>
                <c:pt idx="0">
                  <c:v>873</c:v>
                </c:pt>
                <c:pt idx="1">
                  <c:v>914</c:v>
                </c:pt>
                <c:pt idx="2">
                  <c:v>968</c:v>
                </c:pt>
                <c:pt idx="3">
                  <c:v>1030</c:v>
                </c:pt>
                <c:pt idx="4">
                  <c:v>1099</c:v>
                </c:pt>
                <c:pt idx="5">
                  <c:v>1186</c:v>
                </c:pt>
                <c:pt idx="6">
                  <c:v>1468</c:v>
                </c:pt>
              </c:numCache>
            </c:numRef>
          </c:yVal>
          <c:smooth val="0"/>
          <c:extLst>
            <c:ext xmlns:c16="http://schemas.microsoft.com/office/drawing/2014/chart" uri="{C3380CC4-5D6E-409C-BE32-E72D297353CC}">
              <c16:uniqueId val="{00000019-66C1-4194-B174-04B27A8C5C7A}"/>
            </c:ext>
          </c:extLst>
        </c:ser>
        <c:ser>
          <c:idx val="15"/>
          <c:order val="13"/>
          <c:tx>
            <c:strRef>
              <c:f>'AFMl35 cruise'!$A$204</c:f>
              <c:strCache>
                <c:ptCount val="1"/>
                <c:pt idx="0">
                  <c:v>11500</c:v>
                </c:pt>
              </c:strCache>
            </c:strRef>
          </c:tx>
          <c:spPr>
            <a:ln w="25400" cap="rnd">
              <a:noFill/>
              <a:round/>
            </a:ln>
            <a:effectLst/>
          </c:spPr>
          <c:marker>
            <c:symbol val="none"/>
          </c:marker>
          <c:trendline>
            <c:name>11500</c:name>
            <c:spPr>
              <a:ln w="19050" cap="rnd">
                <a:solidFill>
                  <a:schemeClr val="accent4">
                    <a:lumMod val="80000"/>
                    <a:lumOff val="20000"/>
                  </a:schemeClr>
                </a:solidFill>
                <a:prstDash val="sysDot"/>
              </a:ln>
              <a:effectLst/>
            </c:spPr>
            <c:trendlineType val="poly"/>
            <c:order val="2"/>
            <c:dispRSqr val="0"/>
            <c:dispEq val="0"/>
          </c:trendline>
          <c:xVal>
            <c:numRef>
              <c:f>'AFMl35 cruise'!$B$204:$B$210</c:f>
              <c:numCache>
                <c:formatCode>General</c:formatCode>
                <c:ptCount val="7"/>
                <c:pt idx="0">
                  <c:v>45000</c:v>
                </c:pt>
                <c:pt idx="1">
                  <c:v>43000</c:v>
                </c:pt>
                <c:pt idx="2">
                  <c:v>41000</c:v>
                </c:pt>
                <c:pt idx="3">
                  <c:v>39000</c:v>
                </c:pt>
                <c:pt idx="4">
                  <c:v>37000</c:v>
                </c:pt>
                <c:pt idx="5">
                  <c:v>35000</c:v>
                </c:pt>
                <c:pt idx="6">
                  <c:v>30000</c:v>
                </c:pt>
              </c:numCache>
            </c:numRef>
          </c:xVal>
          <c:yVal>
            <c:numRef>
              <c:f>'AFMl35 cruise'!$J$204:$J$210</c:f>
              <c:numCache>
                <c:formatCode>General</c:formatCode>
                <c:ptCount val="7"/>
                <c:pt idx="0">
                  <c:v>858</c:v>
                </c:pt>
                <c:pt idx="1">
                  <c:v>903</c:v>
                </c:pt>
                <c:pt idx="2">
                  <c:v>958</c:v>
                </c:pt>
                <c:pt idx="3">
                  <c:v>1022</c:v>
                </c:pt>
                <c:pt idx="4">
                  <c:v>1090</c:v>
                </c:pt>
                <c:pt idx="5">
                  <c:v>1178</c:v>
                </c:pt>
                <c:pt idx="6">
                  <c:v>1462</c:v>
                </c:pt>
              </c:numCache>
            </c:numRef>
          </c:yVal>
          <c:smooth val="0"/>
          <c:extLst>
            <c:ext xmlns:c16="http://schemas.microsoft.com/office/drawing/2014/chart" uri="{C3380CC4-5D6E-409C-BE32-E72D297353CC}">
              <c16:uniqueId val="{0000001B-66C1-4194-B174-04B27A8C5C7A}"/>
            </c:ext>
          </c:extLst>
        </c:ser>
        <c:ser>
          <c:idx val="16"/>
          <c:order val="14"/>
          <c:tx>
            <c:strRef>
              <c:f>'AFMl35 cruise'!$A$213</c:f>
              <c:strCache>
                <c:ptCount val="1"/>
                <c:pt idx="0">
                  <c:v>11000</c:v>
                </c:pt>
              </c:strCache>
            </c:strRef>
          </c:tx>
          <c:spPr>
            <a:ln w="25400" cap="rnd">
              <a:noFill/>
              <a:round/>
            </a:ln>
            <a:effectLst/>
          </c:spPr>
          <c:marker>
            <c:symbol val="none"/>
          </c:marker>
          <c:trendline>
            <c:name>11000</c:name>
            <c:spPr>
              <a:ln w="19050" cap="rnd">
                <a:solidFill>
                  <a:schemeClr val="accent5">
                    <a:lumMod val="80000"/>
                    <a:lumOff val="20000"/>
                  </a:schemeClr>
                </a:solidFill>
                <a:prstDash val="sysDot"/>
              </a:ln>
              <a:effectLst/>
            </c:spPr>
            <c:trendlineType val="poly"/>
            <c:order val="2"/>
            <c:dispRSqr val="0"/>
            <c:dispEq val="0"/>
          </c:trendline>
          <c:xVal>
            <c:numRef>
              <c:f>'AFMl35 cruise'!$B$213:$B$219</c:f>
              <c:numCache>
                <c:formatCode>General</c:formatCode>
                <c:ptCount val="7"/>
                <c:pt idx="0">
                  <c:v>45000</c:v>
                </c:pt>
                <c:pt idx="1">
                  <c:v>43000</c:v>
                </c:pt>
                <c:pt idx="2">
                  <c:v>41000</c:v>
                </c:pt>
                <c:pt idx="3">
                  <c:v>39000</c:v>
                </c:pt>
                <c:pt idx="4">
                  <c:v>37000</c:v>
                </c:pt>
                <c:pt idx="5">
                  <c:v>35000</c:v>
                </c:pt>
                <c:pt idx="6">
                  <c:v>30000</c:v>
                </c:pt>
              </c:numCache>
            </c:numRef>
          </c:xVal>
          <c:yVal>
            <c:numRef>
              <c:f>'AFMl35 cruise'!$J$213:$J$219</c:f>
              <c:numCache>
                <c:formatCode>General</c:formatCode>
                <c:ptCount val="7"/>
                <c:pt idx="0">
                  <c:v>844</c:v>
                </c:pt>
                <c:pt idx="1">
                  <c:v>893</c:v>
                </c:pt>
                <c:pt idx="2">
                  <c:v>950</c:v>
                </c:pt>
                <c:pt idx="3">
                  <c:v>1013</c:v>
                </c:pt>
                <c:pt idx="4">
                  <c:v>1082</c:v>
                </c:pt>
                <c:pt idx="5">
                  <c:v>1170</c:v>
                </c:pt>
                <c:pt idx="6">
                  <c:v>1457</c:v>
                </c:pt>
              </c:numCache>
            </c:numRef>
          </c:yVal>
          <c:smooth val="0"/>
          <c:extLst>
            <c:ext xmlns:c16="http://schemas.microsoft.com/office/drawing/2014/chart" uri="{C3380CC4-5D6E-409C-BE32-E72D297353CC}">
              <c16:uniqueId val="{0000001D-66C1-4194-B174-04B27A8C5C7A}"/>
            </c:ext>
          </c:extLst>
        </c:ser>
        <c:ser>
          <c:idx val="17"/>
          <c:order val="15"/>
          <c:tx>
            <c:strRef>
              <c:f>'AFMl35 cruise'!$A$222</c:f>
              <c:strCache>
                <c:ptCount val="1"/>
                <c:pt idx="0">
                  <c:v>10500</c:v>
                </c:pt>
              </c:strCache>
            </c:strRef>
          </c:tx>
          <c:spPr>
            <a:ln w="25400" cap="rnd">
              <a:noFill/>
              <a:round/>
            </a:ln>
            <a:effectLst/>
          </c:spPr>
          <c:marker>
            <c:symbol val="none"/>
          </c:marker>
          <c:trendline>
            <c:name>10500</c:name>
            <c:spPr>
              <a:ln w="19050" cap="rnd">
                <a:solidFill>
                  <a:schemeClr val="accent6">
                    <a:lumMod val="80000"/>
                    <a:lumOff val="20000"/>
                  </a:schemeClr>
                </a:solidFill>
                <a:prstDash val="sysDot"/>
              </a:ln>
              <a:effectLst/>
            </c:spPr>
            <c:trendlineType val="poly"/>
            <c:order val="2"/>
            <c:dispRSqr val="0"/>
            <c:dispEq val="0"/>
          </c:trendline>
          <c:xVal>
            <c:numRef>
              <c:f>'AFMl35 cruise'!$B$222:$B$228</c:f>
              <c:numCache>
                <c:formatCode>General</c:formatCode>
                <c:ptCount val="7"/>
                <c:pt idx="0">
                  <c:v>45000</c:v>
                </c:pt>
                <c:pt idx="1">
                  <c:v>43000</c:v>
                </c:pt>
                <c:pt idx="2">
                  <c:v>41000</c:v>
                </c:pt>
                <c:pt idx="3">
                  <c:v>39000</c:v>
                </c:pt>
                <c:pt idx="4">
                  <c:v>37000</c:v>
                </c:pt>
                <c:pt idx="5">
                  <c:v>35000</c:v>
                </c:pt>
                <c:pt idx="6">
                  <c:v>30000</c:v>
                </c:pt>
              </c:numCache>
            </c:numRef>
          </c:xVal>
          <c:yVal>
            <c:numRef>
              <c:f>'AFMl35 cruise'!$J$222:$J$228</c:f>
              <c:numCache>
                <c:formatCode>General</c:formatCode>
                <c:ptCount val="7"/>
                <c:pt idx="0">
                  <c:v>832</c:v>
                </c:pt>
                <c:pt idx="1">
                  <c:v>883</c:v>
                </c:pt>
                <c:pt idx="2">
                  <c:v>941</c:v>
                </c:pt>
                <c:pt idx="3">
                  <c:v>1005</c:v>
                </c:pt>
                <c:pt idx="4">
                  <c:v>1074</c:v>
                </c:pt>
                <c:pt idx="5">
                  <c:v>1163</c:v>
                </c:pt>
                <c:pt idx="6">
                  <c:v>1452</c:v>
                </c:pt>
              </c:numCache>
            </c:numRef>
          </c:yVal>
          <c:smooth val="0"/>
          <c:extLst>
            <c:ext xmlns:c16="http://schemas.microsoft.com/office/drawing/2014/chart" uri="{C3380CC4-5D6E-409C-BE32-E72D297353CC}">
              <c16:uniqueId val="{0000001F-66C1-4194-B174-04B27A8C5C7A}"/>
            </c:ext>
          </c:extLst>
        </c:ser>
        <c:ser>
          <c:idx val="18"/>
          <c:order val="16"/>
          <c:tx>
            <c:strRef>
              <c:f>'AFMl35 cruise'!$A$231</c:f>
              <c:strCache>
                <c:ptCount val="1"/>
                <c:pt idx="0">
                  <c:v>10000</c:v>
                </c:pt>
              </c:strCache>
            </c:strRef>
          </c:tx>
          <c:spPr>
            <a:ln w="25400" cap="rnd">
              <a:noFill/>
              <a:round/>
            </a:ln>
            <a:effectLst/>
          </c:spPr>
          <c:marker>
            <c:symbol val="none"/>
          </c:marker>
          <c:xVal>
            <c:numRef>
              <c:f>'AFMl35 cruise'!$B$231:$B$237</c:f>
              <c:numCache>
                <c:formatCode>General</c:formatCode>
                <c:ptCount val="7"/>
                <c:pt idx="0">
                  <c:v>45000</c:v>
                </c:pt>
                <c:pt idx="1">
                  <c:v>43000</c:v>
                </c:pt>
                <c:pt idx="2">
                  <c:v>41000</c:v>
                </c:pt>
                <c:pt idx="3">
                  <c:v>39000</c:v>
                </c:pt>
                <c:pt idx="4">
                  <c:v>37000</c:v>
                </c:pt>
                <c:pt idx="5">
                  <c:v>35000</c:v>
                </c:pt>
                <c:pt idx="6">
                  <c:v>30000</c:v>
                </c:pt>
              </c:numCache>
            </c:numRef>
          </c:xVal>
          <c:yVal>
            <c:numRef>
              <c:f>'AFMl35 cruise'!$J$231:$J$237</c:f>
              <c:numCache>
                <c:formatCode>General</c:formatCode>
                <c:ptCount val="7"/>
                <c:pt idx="0">
                  <c:v>822</c:v>
                </c:pt>
                <c:pt idx="1">
                  <c:v>874</c:v>
                </c:pt>
                <c:pt idx="2">
                  <c:v>933</c:v>
                </c:pt>
                <c:pt idx="3">
                  <c:v>997</c:v>
                </c:pt>
                <c:pt idx="4">
                  <c:v>1067</c:v>
                </c:pt>
                <c:pt idx="5">
                  <c:v>1157</c:v>
                </c:pt>
                <c:pt idx="6">
                  <c:v>1447</c:v>
                </c:pt>
              </c:numCache>
            </c:numRef>
          </c:yVal>
          <c:smooth val="0"/>
          <c:extLst>
            <c:ext xmlns:c16="http://schemas.microsoft.com/office/drawing/2014/chart" uri="{C3380CC4-5D6E-409C-BE32-E72D297353CC}">
              <c16:uniqueId val="{00000020-66C1-4194-B174-04B27A8C5C7A}"/>
            </c:ext>
          </c:extLst>
        </c:ser>
        <c:dLbls>
          <c:showLegendKey val="0"/>
          <c:showVal val="0"/>
          <c:showCatName val="0"/>
          <c:showSerName val="0"/>
          <c:showPercent val="0"/>
          <c:showBubbleSize val="0"/>
        </c:dLbls>
        <c:axId val="1005056032"/>
        <c:axId val="1005063104"/>
      </c:scatterChart>
      <c:valAx>
        <c:axId val="1005056032"/>
        <c:scaling>
          <c:orientation val="minMax"/>
          <c:min val="20000"/>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063104"/>
        <c:crosses val="autoZero"/>
        <c:crossBetween val="midCat"/>
      </c:valAx>
      <c:valAx>
        <c:axId val="1005063104"/>
        <c:scaling>
          <c:orientation val="minMax"/>
          <c:max val="2200"/>
          <c:min val="8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056032"/>
        <c:crosses val="autoZero"/>
        <c:crossBetween val="midCat"/>
      </c:valAx>
      <c:spPr>
        <a:noFill/>
        <a:ln>
          <a:noFill/>
        </a:ln>
        <a:effectLst/>
      </c:spPr>
    </c:plotArea>
    <c:legend>
      <c:legendPos val="r"/>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ayout>
        <c:manualLayout>
          <c:xMode val="edge"/>
          <c:yMode val="edge"/>
          <c:x val="0.83959107611548556"/>
          <c:y val="0.13849112462837879"/>
          <c:w val="0.12560879265091862"/>
          <c:h val="0.604269632172755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Legacy Profiles TAS Plots</a:t>
            </a:r>
          </a:p>
        </c:rich>
      </c:tx>
      <c:layout>
        <c:manualLayout>
          <c:xMode val="edge"/>
          <c:yMode val="edge"/>
          <c:x val="0.14105406824146982"/>
          <c:y val="4.844655081621906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348188976377953E-2"/>
          <c:y val="3.3701948393891519E-2"/>
          <c:w val="0.89710918635170589"/>
          <c:h val="0.92796573414105232"/>
        </c:manualLayout>
      </c:layout>
      <c:scatterChart>
        <c:scatterStyle val="lineMarker"/>
        <c:varyColors val="0"/>
        <c:ser>
          <c:idx val="9"/>
          <c:order val="0"/>
          <c:tx>
            <c:strRef>
              <c:f>'Legacy Data'!$A$1</c:f>
              <c:strCache>
                <c:ptCount val="1"/>
                <c:pt idx="0">
                  <c:v>LR31</c:v>
                </c:pt>
              </c:strCache>
            </c:strRef>
          </c:tx>
          <c:spPr>
            <a:ln w="25400" cap="rnd">
              <a:noFill/>
              <a:round/>
            </a:ln>
            <a:effectLst/>
          </c:spPr>
          <c:marker>
            <c:symbol val="circle"/>
            <c:size val="5"/>
            <c:spPr>
              <a:solidFill>
                <a:schemeClr val="accent4">
                  <a:lumMod val="60000"/>
                </a:schemeClr>
              </a:solidFill>
              <a:ln w="9525">
                <a:solidFill>
                  <a:schemeClr val="accent4">
                    <a:lumMod val="60000"/>
                  </a:schemeClr>
                </a:solidFill>
              </a:ln>
              <a:effectLst/>
            </c:spPr>
          </c:marker>
          <c:trendline>
            <c:name>Curve Fit LR31</c:name>
            <c:spPr>
              <a:ln w="19050" cap="rnd">
                <a:solidFill>
                  <a:schemeClr val="accent4">
                    <a:lumMod val="60000"/>
                  </a:schemeClr>
                </a:solidFill>
                <a:prstDash val="sysDot"/>
              </a:ln>
              <a:effectLst/>
            </c:spPr>
            <c:trendlineType val="poly"/>
            <c:order val="6"/>
            <c:dispRSqr val="0"/>
            <c:dispEq val="0"/>
          </c:trendline>
          <c:xVal>
            <c:numRef>
              <c:f>'Legacy Data'!$A$3:$A$12</c:f>
              <c:numCache>
                <c:formatCode>General</c:formatCode>
                <c:ptCount val="10"/>
                <c:pt idx="0">
                  <c:v>43000</c:v>
                </c:pt>
                <c:pt idx="1">
                  <c:v>10000</c:v>
                </c:pt>
                <c:pt idx="2">
                  <c:v>15000</c:v>
                </c:pt>
                <c:pt idx="3">
                  <c:v>35000</c:v>
                </c:pt>
                <c:pt idx="4">
                  <c:v>5000</c:v>
                </c:pt>
                <c:pt idx="5">
                  <c:v>39000</c:v>
                </c:pt>
                <c:pt idx="6">
                  <c:v>25000</c:v>
                </c:pt>
                <c:pt idx="7">
                  <c:v>41000</c:v>
                </c:pt>
                <c:pt idx="8">
                  <c:v>30000</c:v>
                </c:pt>
                <c:pt idx="9">
                  <c:v>20000</c:v>
                </c:pt>
              </c:numCache>
            </c:numRef>
          </c:xVal>
          <c:yVal>
            <c:numRef>
              <c:f>'Legacy Data'!$C$3:$C$12</c:f>
              <c:numCache>
                <c:formatCode>General</c:formatCode>
                <c:ptCount val="10"/>
                <c:pt idx="0">
                  <c:v>435</c:v>
                </c:pt>
                <c:pt idx="1">
                  <c:v>350</c:v>
                </c:pt>
                <c:pt idx="2">
                  <c:v>400</c:v>
                </c:pt>
                <c:pt idx="3">
                  <c:v>437</c:v>
                </c:pt>
                <c:pt idx="4">
                  <c:v>250</c:v>
                </c:pt>
                <c:pt idx="5">
                  <c:v>435</c:v>
                </c:pt>
                <c:pt idx="6">
                  <c:v>450</c:v>
                </c:pt>
                <c:pt idx="7">
                  <c:v>435</c:v>
                </c:pt>
                <c:pt idx="8">
                  <c:v>447</c:v>
                </c:pt>
                <c:pt idx="9">
                  <c:v>430</c:v>
                </c:pt>
              </c:numCache>
            </c:numRef>
          </c:yVal>
          <c:smooth val="0"/>
          <c:extLst>
            <c:ext xmlns:c16="http://schemas.microsoft.com/office/drawing/2014/chart" uri="{C3380CC4-5D6E-409C-BE32-E72D297353CC}">
              <c16:uniqueId val="{00000001-FFBA-4745-A9D5-F29A6A542B7E}"/>
            </c:ext>
          </c:extLst>
        </c:ser>
        <c:ser>
          <c:idx val="10"/>
          <c:order val="1"/>
          <c:tx>
            <c:strRef>
              <c:f>'Legacy Data'!$V$1</c:f>
              <c:strCache>
                <c:ptCount val="1"/>
                <c:pt idx="0">
                  <c:v>LR35 Pod</c:v>
                </c:pt>
              </c:strCache>
            </c:strRef>
          </c:tx>
          <c:spPr>
            <a:ln w="25400" cap="rnd">
              <a:noFill/>
              <a:round/>
            </a:ln>
            <a:effectLst/>
          </c:spPr>
          <c:marker>
            <c:symbol val="circle"/>
            <c:size val="5"/>
            <c:spPr>
              <a:solidFill>
                <a:schemeClr val="accent5">
                  <a:lumMod val="60000"/>
                </a:schemeClr>
              </a:solidFill>
              <a:ln w="9525">
                <a:solidFill>
                  <a:schemeClr val="accent5">
                    <a:lumMod val="60000"/>
                  </a:schemeClr>
                </a:solidFill>
              </a:ln>
              <a:effectLst/>
            </c:spPr>
          </c:marker>
          <c:trendline>
            <c:name>Curve Fit LR35 Pod</c:name>
            <c:spPr>
              <a:ln w="19050" cap="rnd">
                <a:solidFill>
                  <a:schemeClr val="accent5">
                    <a:lumMod val="60000"/>
                  </a:schemeClr>
                </a:solidFill>
                <a:prstDash val="sysDot"/>
              </a:ln>
              <a:effectLst/>
            </c:spPr>
            <c:trendlineType val="poly"/>
            <c:order val="2"/>
            <c:dispRSqr val="0"/>
            <c:dispEq val="0"/>
          </c:trendline>
          <c:xVal>
            <c:numRef>
              <c:f>'Legacy Data'!$V$3:$V$6</c:f>
              <c:numCache>
                <c:formatCode>General</c:formatCode>
                <c:ptCount val="4"/>
                <c:pt idx="0">
                  <c:v>10000</c:v>
                </c:pt>
                <c:pt idx="1">
                  <c:v>20000</c:v>
                </c:pt>
                <c:pt idx="2">
                  <c:v>30000</c:v>
                </c:pt>
                <c:pt idx="3">
                  <c:v>35000</c:v>
                </c:pt>
              </c:numCache>
            </c:numRef>
          </c:xVal>
          <c:yVal>
            <c:numRef>
              <c:f>'Legacy Data'!$X$3:$X$6</c:f>
              <c:numCache>
                <c:formatCode>General</c:formatCode>
                <c:ptCount val="4"/>
                <c:pt idx="0">
                  <c:v>260</c:v>
                </c:pt>
                <c:pt idx="1">
                  <c:v>300</c:v>
                </c:pt>
                <c:pt idx="2">
                  <c:v>360</c:v>
                </c:pt>
                <c:pt idx="3">
                  <c:v>380</c:v>
                </c:pt>
              </c:numCache>
            </c:numRef>
          </c:yVal>
          <c:smooth val="0"/>
          <c:extLst>
            <c:ext xmlns:c16="http://schemas.microsoft.com/office/drawing/2014/chart" uri="{C3380CC4-5D6E-409C-BE32-E72D297353CC}">
              <c16:uniqueId val="{00000003-FFBA-4745-A9D5-F29A6A542B7E}"/>
            </c:ext>
          </c:extLst>
        </c:ser>
        <c:ser>
          <c:idx val="11"/>
          <c:order val="2"/>
          <c:tx>
            <c:strRef>
              <c:f>'Legacy Data'!$AC$1</c:f>
              <c:strCache>
                <c:ptCount val="1"/>
                <c:pt idx="0">
                  <c:v>LR35</c:v>
                </c:pt>
              </c:strCache>
            </c:strRef>
          </c:tx>
          <c:spPr>
            <a:ln w="25400" cap="rnd">
              <a:noFill/>
              <a:round/>
            </a:ln>
            <a:effectLst/>
          </c:spPr>
          <c:marker>
            <c:symbol val="circle"/>
            <c:size val="5"/>
            <c:spPr>
              <a:solidFill>
                <a:schemeClr val="accent6">
                  <a:lumMod val="60000"/>
                </a:schemeClr>
              </a:solidFill>
              <a:ln w="9525">
                <a:solidFill>
                  <a:schemeClr val="accent6">
                    <a:lumMod val="60000"/>
                  </a:schemeClr>
                </a:solidFill>
              </a:ln>
              <a:effectLst/>
            </c:spPr>
          </c:marker>
          <c:trendline>
            <c:name>Curve Fit LR35</c:name>
            <c:spPr>
              <a:ln w="19050" cap="rnd">
                <a:solidFill>
                  <a:schemeClr val="accent6">
                    <a:lumMod val="60000"/>
                  </a:schemeClr>
                </a:solidFill>
                <a:prstDash val="sysDot"/>
              </a:ln>
              <a:effectLst/>
            </c:spPr>
            <c:trendlineType val="poly"/>
            <c:order val="4"/>
            <c:dispRSqr val="0"/>
            <c:dispEq val="0"/>
          </c:trendline>
          <c:xVal>
            <c:numRef>
              <c:f>'Legacy Data'!$AC$3:$AC$10</c:f>
              <c:numCache>
                <c:formatCode>General</c:formatCode>
                <c:ptCount val="8"/>
                <c:pt idx="0">
                  <c:v>35000</c:v>
                </c:pt>
                <c:pt idx="1">
                  <c:v>28000</c:v>
                </c:pt>
                <c:pt idx="2">
                  <c:v>40000</c:v>
                </c:pt>
                <c:pt idx="3">
                  <c:v>27000</c:v>
                </c:pt>
                <c:pt idx="4">
                  <c:v>20000</c:v>
                </c:pt>
                <c:pt idx="5">
                  <c:v>30000</c:v>
                </c:pt>
                <c:pt idx="6">
                  <c:v>2000</c:v>
                </c:pt>
                <c:pt idx="7">
                  <c:v>10000</c:v>
                </c:pt>
              </c:numCache>
            </c:numRef>
          </c:xVal>
          <c:yVal>
            <c:numRef>
              <c:f>'Legacy Data'!$AE$3:$AE$10</c:f>
              <c:numCache>
                <c:formatCode>General</c:formatCode>
                <c:ptCount val="8"/>
                <c:pt idx="0">
                  <c:v>430</c:v>
                </c:pt>
                <c:pt idx="1">
                  <c:v>370</c:v>
                </c:pt>
                <c:pt idx="2">
                  <c:v>440</c:v>
                </c:pt>
                <c:pt idx="3">
                  <c:v>370</c:v>
                </c:pt>
                <c:pt idx="4">
                  <c:v>340</c:v>
                </c:pt>
                <c:pt idx="5">
                  <c:v>400</c:v>
                </c:pt>
                <c:pt idx="6">
                  <c:v>250</c:v>
                </c:pt>
                <c:pt idx="7">
                  <c:v>280</c:v>
                </c:pt>
              </c:numCache>
            </c:numRef>
          </c:yVal>
          <c:smooth val="0"/>
          <c:extLst>
            <c:ext xmlns:c16="http://schemas.microsoft.com/office/drawing/2014/chart" uri="{C3380CC4-5D6E-409C-BE32-E72D297353CC}">
              <c16:uniqueId val="{00000005-FFBA-4745-A9D5-F29A6A542B7E}"/>
            </c:ext>
          </c:extLst>
        </c:ser>
        <c:ser>
          <c:idx val="12"/>
          <c:order val="3"/>
          <c:tx>
            <c:strRef>
              <c:f>'Legacy Data'!$O$1</c:f>
              <c:strCache>
                <c:ptCount val="1"/>
                <c:pt idx="0">
                  <c:v>LR31 2</c:v>
                </c:pt>
              </c:strCache>
            </c:strRef>
          </c:tx>
          <c:spPr>
            <a:ln w="25400"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trendline>
            <c:name>Curve Fit LR31 2</c:name>
            <c:spPr>
              <a:ln w="19050" cap="rnd">
                <a:solidFill>
                  <a:schemeClr val="accent1">
                    <a:lumMod val="80000"/>
                    <a:lumOff val="20000"/>
                  </a:schemeClr>
                </a:solidFill>
                <a:prstDash val="sysDot"/>
              </a:ln>
              <a:effectLst/>
            </c:spPr>
            <c:trendlineType val="poly"/>
            <c:order val="6"/>
            <c:dispRSqr val="0"/>
            <c:dispEq val="0"/>
          </c:trendline>
          <c:xVal>
            <c:numRef>
              <c:f>'Legacy Data'!$O$3:$O$12</c:f>
              <c:numCache>
                <c:formatCode>General</c:formatCode>
                <c:ptCount val="10"/>
                <c:pt idx="0">
                  <c:v>10000</c:v>
                </c:pt>
                <c:pt idx="1">
                  <c:v>20000</c:v>
                </c:pt>
                <c:pt idx="2">
                  <c:v>30000</c:v>
                </c:pt>
                <c:pt idx="3">
                  <c:v>47000</c:v>
                </c:pt>
                <c:pt idx="4">
                  <c:v>35000</c:v>
                </c:pt>
                <c:pt idx="5">
                  <c:v>15000</c:v>
                </c:pt>
                <c:pt idx="6">
                  <c:v>1000</c:v>
                </c:pt>
                <c:pt idx="7">
                  <c:v>25000</c:v>
                </c:pt>
                <c:pt idx="8">
                  <c:v>40000</c:v>
                </c:pt>
                <c:pt idx="9">
                  <c:v>5000</c:v>
                </c:pt>
              </c:numCache>
            </c:numRef>
          </c:xVal>
          <c:yVal>
            <c:numRef>
              <c:f>'Legacy Data'!$Q$3:$Q$12</c:f>
              <c:numCache>
                <c:formatCode>General</c:formatCode>
                <c:ptCount val="10"/>
                <c:pt idx="0">
                  <c:v>269</c:v>
                </c:pt>
                <c:pt idx="1">
                  <c:v>318</c:v>
                </c:pt>
                <c:pt idx="2">
                  <c:v>365</c:v>
                </c:pt>
                <c:pt idx="3">
                  <c:v>433</c:v>
                </c:pt>
                <c:pt idx="4">
                  <c:v>435</c:v>
                </c:pt>
                <c:pt idx="5">
                  <c:v>300</c:v>
                </c:pt>
                <c:pt idx="6">
                  <c:v>232</c:v>
                </c:pt>
                <c:pt idx="7">
                  <c:v>349</c:v>
                </c:pt>
                <c:pt idx="8">
                  <c:v>433</c:v>
                </c:pt>
                <c:pt idx="9">
                  <c:v>254</c:v>
                </c:pt>
              </c:numCache>
            </c:numRef>
          </c:yVal>
          <c:smooth val="0"/>
          <c:extLst>
            <c:ext xmlns:c16="http://schemas.microsoft.com/office/drawing/2014/chart" uri="{C3380CC4-5D6E-409C-BE32-E72D297353CC}">
              <c16:uniqueId val="{00000007-FFBA-4745-A9D5-F29A6A542B7E}"/>
            </c:ext>
          </c:extLst>
        </c:ser>
        <c:ser>
          <c:idx val="0"/>
          <c:order val="4"/>
          <c:tx>
            <c:v>LR35 AFM Cruise TAS</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backward val="8000"/>
            <c:dispRSqr val="0"/>
            <c:dispEq val="0"/>
          </c:trendline>
          <c:xVal>
            <c:numRef>
              <c:f>'AFMl35 cruise'!$B$232:$B$241</c:f>
              <c:numCache>
                <c:formatCode>General</c:formatCode>
                <c:ptCount val="10"/>
                <c:pt idx="0">
                  <c:v>43000</c:v>
                </c:pt>
                <c:pt idx="1">
                  <c:v>41000</c:v>
                </c:pt>
                <c:pt idx="2">
                  <c:v>39000</c:v>
                </c:pt>
                <c:pt idx="3">
                  <c:v>37000</c:v>
                </c:pt>
                <c:pt idx="4">
                  <c:v>35000</c:v>
                </c:pt>
                <c:pt idx="5">
                  <c:v>30000</c:v>
                </c:pt>
                <c:pt idx="6">
                  <c:v>25000</c:v>
                </c:pt>
                <c:pt idx="7">
                  <c:v>20000</c:v>
                </c:pt>
                <c:pt idx="8">
                  <c:v>15000</c:v>
                </c:pt>
                <c:pt idx="9">
                  <c:v>10000</c:v>
                </c:pt>
              </c:numCache>
            </c:numRef>
          </c:xVal>
          <c:yVal>
            <c:numRef>
              <c:f>'AFMl35 cruise'!$C$232:$C$241</c:f>
              <c:numCache>
                <c:formatCode>General</c:formatCode>
                <c:ptCount val="10"/>
                <c:pt idx="0">
                  <c:v>442</c:v>
                </c:pt>
                <c:pt idx="1">
                  <c:v>442</c:v>
                </c:pt>
                <c:pt idx="2">
                  <c:v>440</c:v>
                </c:pt>
                <c:pt idx="3">
                  <c:v>439</c:v>
                </c:pt>
                <c:pt idx="4">
                  <c:v>440</c:v>
                </c:pt>
                <c:pt idx="5">
                  <c:v>447</c:v>
                </c:pt>
                <c:pt idx="6">
                  <c:v>445</c:v>
                </c:pt>
                <c:pt idx="7">
                  <c:v>408</c:v>
                </c:pt>
                <c:pt idx="8">
                  <c:v>378</c:v>
                </c:pt>
                <c:pt idx="9">
                  <c:v>351</c:v>
                </c:pt>
              </c:numCache>
            </c:numRef>
          </c:yVal>
          <c:smooth val="0"/>
          <c:extLst>
            <c:ext xmlns:c16="http://schemas.microsoft.com/office/drawing/2014/chart" uri="{C3380CC4-5D6E-409C-BE32-E72D297353CC}">
              <c16:uniqueId val="{00000009-FFBA-4745-A9D5-F29A6A542B7E}"/>
            </c:ext>
          </c:extLst>
        </c:ser>
        <c:dLbls>
          <c:showLegendKey val="0"/>
          <c:showVal val="0"/>
          <c:showCatName val="0"/>
          <c:showSerName val="0"/>
          <c:showPercent val="0"/>
          <c:showBubbleSize val="0"/>
        </c:dLbls>
        <c:axId val="1005056032"/>
        <c:axId val="1005063104"/>
      </c:scatterChart>
      <c:valAx>
        <c:axId val="10050560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063104"/>
        <c:crosses val="autoZero"/>
        <c:crossBetween val="midCat"/>
      </c:valAx>
      <c:valAx>
        <c:axId val="1005063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056032"/>
        <c:crosses val="autoZero"/>
        <c:crossBetween val="midCat"/>
      </c:valAx>
      <c:spPr>
        <a:noFill/>
        <a:ln>
          <a:noFill/>
        </a:ln>
        <a:effectLst/>
      </c:spPr>
    </c:plotArea>
    <c:legend>
      <c:legendPos val="b"/>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L60 Clean - Normal Cruise</a:t>
            </a:r>
            <a:r>
              <a:rPr lang="en-AU" baseline="0"/>
              <a:t> </a:t>
            </a:r>
            <a:r>
              <a:rPr lang="en-AU"/>
              <a:t>Fuel</a:t>
            </a:r>
            <a:r>
              <a:rPr lang="en-AU" baseline="0"/>
              <a:t> Flow- AFM Data @ ISA + 10</a:t>
            </a:r>
            <a:endParaRPr lang="en-AU"/>
          </a:p>
        </c:rich>
      </c:tx>
      <c:layout>
        <c:manualLayout>
          <c:xMode val="edge"/>
          <c:yMode val="edge"/>
          <c:x val="0.22366246719160104"/>
          <c:y val="6.52975250131648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4043547586854673E-2"/>
          <c:y val="1.3663265353862853E-2"/>
          <c:w val="0.73710918635170608"/>
          <c:h val="0.92796573414105232"/>
        </c:manualLayout>
      </c:layout>
      <c:scatterChart>
        <c:scatterStyle val="lineMarker"/>
        <c:varyColors val="0"/>
        <c:ser>
          <c:idx val="1"/>
          <c:order val="0"/>
          <c:tx>
            <c:strRef>
              <c:f>'AFMl35 cruise'!$A$40</c:f>
              <c:strCache>
                <c:ptCount val="1"/>
                <c:pt idx="0">
                  <c:v>23000</c:v>
                </c:pt>
              </c:strCache>
            </c:strRef>
          </c:tx>
          <c:spPr>
            <a:ln w="25400" cap="rnd">
              <a:noFill/>
              <a:round/>
            </a:ln>
            <a:effectLst/>
          </c:spPr>
          <c:marker>
            <c:symbol val="circle"/>
            <c:size val="5"/>
            <c:spPr>
              <a:noFill/>
              <a:ln w="9525">
                <a:noFill/>
              </a:ln>
              <a:effectLst/>
            </c:spPr>
          </c:marker>
          <c:trendline>
            <c:name>23000</c:name>
            <c:spPr>
              <a:ln w="19050" cap="rnd">
                <a:solidFill>
                  <a:schemeClr val="accent2"/>
                </a:solidFill>
                <a:prstDash val="sysDot"/>
              </a:ln>
              <a:effectLst/>
            </c:spPr>
            <c:trendlineType val="poly"/>
            <c:order val="2"/>
            <c:dispRSqr val="0"/>
            <c:dispEq val="0"/>
          </c:trendline>
          <c:xVal>
            <c:numRef>
              <c:f>'AFMl35 cruise'!$B$40:$B$47</c:f>
              <c:numCache>
                <c:formatCode>General</c:formatCode>
                <c:ptCount val="8"/>
                <c:pt idx="0">
                  <c:v>45000</c:v>
                </c:pt>
                <c:pt idx="1">
                  <c:v>43000</c:v>
                </c:pt>
                <c:pt idx="2">
                  <c:v>41000</c:v>
                </c:pt>
                <c:pt idx="3">
                  <c:v>39000</c:v>
                </c:pt>
                <c:pt idx="4">
                  <c:v>37000</c:v>
                </c:pt>
                <c:pt idx="5">
                  <c:v>35000</c:v>
                </c:pt>
                <c:pt idx="6">
                  <c:v>30000</c:v>
                </c:pt>
                <c:pt idx="7">
                  <c:v>25000</c:v>
                </c:pt>
              </c:numCache>
            </c:numRef>
          </c:xVal>
          <c:yVal>
            <c:numRef>
              <c:f>'AFMl35 cruise'!$M$40:$M$47</c:f>
              <c:numCache>
                <c:formatCode>General</c:formatCode>
                <c:ptCount val="8"/>
                <c:pt idx="3">
                  <c:v>1414</c:v>
                </c:pt>
                <c:pt idx="4">
                  <c:v>1427</c:v>
                </c:pt>
                <c:pt idx="5">
                  <c:v>1481</c:v>
                </c:pt>
                <c:pt idx="6">
                  <c:v>1699</c:v>
                </c:pt>
                <c:pt idx="7">
                  <c:v>2013</c:v>
                </c:pt>
              </c:numCache>
            </c:numRef>
          </c:yVal>
          <c:smooth val="0"/>
          <c:extLst>
            <c:ext xmlns:c16="http://schemas.microsoft.com/office/drawing/2014/chart" uri="{C3380CC4-5D6E-409C-BE32-E72D297353CC}">
              <c16:uniqueId val="{00000001-7B3D-49F0-A5DE-8587E6D96757}"/>
            </c:ext>
          </c:extLst>
        </c:ser>
        <c:ser>
          <c:idx val="0"/>
          <c:order val="1"/>
          <c:tx>
            <c:strRef>
              <c:f>'AFMl35 cruise'!$A$49</c:f>
              <c:strCache>
                <c:ptCount val="1"/>
                <c:pt idx="0">
                  <c:v>22000</c:v>
                </c:pt>
              </c:strCache>
            </c:strRef>
          </c:tx>
          <c:spPr>
            <a:ln w="25400" cap="rnd">
              <a:noFill/>
              <a:round/>
            </a:ln>
            <a:effectLst/>
          </c:spPr>
          <c:marker>
            <c:symbol val="none"/>
          </c:marker>
          <c:trendline>
            <c:name>22000</c:name>
            <c:spPr>
              <a:ln w="19050" cap="rnd">
                <a:solidFill>
                  <a:schemeClr val="accent1"/>
                </a:solidFill>
                <a:prstDash val="sysDot"/>
              </a:ln>
              <a:effectLst/>
            </c:spPr>
            <c:trendlineType val="poly"/>
            <c:order val="2"/>
            <c:dispRSqr val="0"/>
            <c:dispEq val="0"/>
          </c:trendline>
          <c:xVal>
            <c:numRef>
              <c:f>'AFMl35 cruise'!$B$49:$B$56</c:f>
              <c:numCache>
                <c:formatCode>General</c:formatCode>
                <c:ptCount val="8"/>
                <c:pt idx="0">
                  <c:v>45000</c:v>
                </c:pt>
                <c:pt idx="1">
                  <c:v>43000</c:v>
                </c:pt>
                <c:pt idx="2">
                  <c:v>41000</c:v>
                </c:pt>
                <c:pt idx="3">
                  <c:v>39000</c:v>
                </c:pt>
                <c:pt idx="4">
                  <c:v>37000</c:v>
                </c:pt>
                <c:pt idx="5">
                  <c:v>35000</c:v>
                </c:pt>
                <c:pt idx="6">
                  <c:v>30000</c:v>
                </c:pt>
                <c:pt idx="7">
                  <c:v>25000</c:v>
                </c:pt>
              </c:numCache>
            </c:numRef>
          </c:xVal>
          <c:yVal>
            <c:numRef>
              <c:f>'AFMl35 cruise'!$M$49:$M$56</c:f>
              <c:numCache>
                <c:formatCode>General</c:formatCode>
                <c:ptCount val="8"/>
                <c:pt idx="3">
                  <c:v>1358</c:v>
                </c:pt>
                <c:pt idx="4">
                  <c:v>1385</c:v>
                </c:pt>
                <c:pt idx="5">
                  <c:v>1443</c:v>
                </c:pt>
                <c:pt idx="6">
                  <c:v>1670</c:v>
                </c:pt>
                <c:pt idx="7">
                  <c:v>1994</c:v>
                </c:pt>
              </c:numCache>
            </c:numRef>
          </c:yVal>
          <c:smooth val="0"/>
          <c:extLst>
            <c:ext xmlns:c16="http://schemas.microsoft.com/office/drawing/2014/chart" uri="{C3380CC4-5D6E-409C-BE32-E72D297353CC}">
              <c16:uniqueId val="{00000003-7B3D-49F0-A5DE-8587E6D96757}"/>
            </c:ext>
          </c:extLst>
        </c:ser>
        <c:ser>
          <c:idx val="2"/>
          <c:order val="2"/>
          <c:tx>
            <c:strRef>
              <c:f>'AFMl35 cruise'!$A$58</c:f>
              <c:strCache>
                <c:ptCount val="1"/>
                <c:pt idx="0">
                  <c:v>21000</c:v>
                </c:pt>
              </c:strCache>
            </c:strRef>
          </c:tx>
          <c:spPr>
            <a:ln w="25400" cap="rnd">
              <a:noFill/>
              <a:round/>
            </a:ln>
            <a:effectLst/>
          </c:spPr>
          <c:marker>
            <c:symbol val="none"/>
          </c:marker>
          <c:trendline>
            <c:name>21000 - USED</c:name>
            <c:spPr>
              <a:ln w="19050" cap="rnd">
                <a:solidFill>
                  <a:schemeClr val="tx1"/>
                </a:solidFill>
                <a:prstDash val="solid"/>
              </a:ln>
              <a:effectLst/>
            </c:spPr>
            <c:trendlineType val="poly"/>
            <c:order val="2"/>
            <c:backward val="20000"/>
            <c:intercept val="5000"/>
            <c:dispRSqr val="1"/>
            <c:dispEq val="1"/>
            <c:trendlineLbl>
              <c:layout>
                <c:manualLayout>
                  <c:x val="4.8893832020997313E-2"/>
                  <c:y val="-0.2894050329016929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'AFMl35 cruise'!$B$58:$B$65</c:f>
              <c:numCache>
                <c:formatCode>General</c:formatCode>
                <c:ptCount val="8"/>
                <c:pt idx="0">
                  <c:v>45000</c:v>
                </c:pt>
                <c:pt idx="1">
                  <c:v>43000</c:v>
                </c:pt>
                <c:pt idx="2">
                  <c:v>41000</c:v>
                </c:pt>
                <c:pt idx="3">
                  <c:v>39000</c:v>
                </c:pt>
                <c:pt idx="4">
                  <c:v>37000</c:v>
                </c:pt>
                <c:pt idx="5">
                  <c:v>35000</c:v>
                </c:pt>
                <c:pt idx="6">
                  <c:v>30000</c:v>
                </c:pt>
                <c:pt idx="7">
                  <c:v>25000</c:v>
                </c:pt>
              </c:numCache>
            </c:numRef>
          </c:xVal>
          <c:yVal>
            <c:numRef>
              <c:f>'AFMl35 cruise'!$M$58:$M$65</c:f>
              <c:numCache>
                <c:formatCode>General</c:formatCode>
                <c:ptCount val="8"/>
                <c:pt idx="2">
                  <c:v>1299</c:v>
                </c:pt>
                <c:pt idx="3">
                  <c:v>1308</c:v>
                </c:pt>
                <c:pt idx="4">
                  <c:v>1344</c:v>
                </c:pt>
                <c:pt idx="5">
                  <c:v>1406</c:v>
                </c:pt>
                <c:pt idx="6">
                  <c:v>1643</c:v>
                </c:pt>
                <c:pt idx="7">
                  <c:v>1975</c:v>
                </c:pt>
              </c:numCache>
            </c:numRef>
          </c:yVal>
          <c:smooth val="0"/>
          <c:extLst>
            <c:ext xmlns:c16="http://schemas.microsoft.com/office/drawing/2014/chart" uri="{C3380CC4-5D6E-409C-BE32-E72D297353CC}">
              <c16:uniqueId val="{00000005-7B3D-49F0-A5DE-8587E6D96757}"/>
            </c:ext>
          </c:extLst>
        </c:ser>
        <c:ser>
          <c:idx val="3"/>
          <c:order val="3"/>
          <c:tx>
            <c:strRef>
              <c:f>'AFMl35 cruise'!$A$67</c:f>
              <c:strCache>
                <c:ptCount val="1"/>
                <c:pt idx="0">
                  <c:v>20000</c:v>
                </c:pt>
              </c:strCache>
            </c:strRef>
          </c:tx>
          <c:spPr>
            <a:ln w="25400" cap="rnd">
              <a:noFill/>
              <a:round/>
            </a:ln>
            <a:effectLst/>
          </c:spPr>
          <c:marker>
            <c:symbol val="none"/>
          </c:marker>
          <c:trendline>
            <c:name>20000</c:name>
            <c:spPr>
              <a:ln w="19050" cap="rnd">
                <a:solidFill>
                  <a:schemeClr val="accent4"/>
                </a:solidFill>
                <a:prstDash val="sysDot"/>
              </a:ln>
              <a:effectLst/>
            </c:spPr>
            <c:trendlineType val="poly"/>
            <c:order val="2"/>
            <c:dispRSqr val="0"/>
            <c:dispEq val="0"/>
          </c:trendline>
          <c:xVal>
            <c:numRef>
              <c:f>'AFMl35 cruise'!$B$67:$B$74</c:f>
              <c:numCache>
                <c:formatCode>General</c:formatCode>
                <c:ptCount val="8"/>
                <c:pt idx="0">
                  <c:v>45000</c:v>
                </c:pt>
                <c:pt idx="1">
                  <c:v>43000</c:v>
                </c:pt>
                <c:pt idx="2">
                  <c:v>41000</c:v>
                </c:pt>
                <c:pt idx="3">
                  <c:v>39000</c:v>
                </c:pt>
                <c:pt idx="4">
                  <c:v>37000</c:v>
                </c:pt>
                <c:pt idx="5">
                  <c:v>35000</c:v>
                </c:pt>
                <c:pt idx="6">
                  <c:v>30000</c:v>
                </c:pt>
                <c:pt idx="7">
                  <c:v>25000</c:v>
                </c:pt>
              </c:numCache>
            </c:numRef>
          </c:xVal>
          <c:yVal>
            <c:numRef>
              <c:f>'AFMl35 cruise'!$M$67:$M$74</c:f>
              <c:numCache>
                <c:formatCode>General</c:formatCode>
                <c:ptCount val="8"/>
                <c:pt idx="2">
                  <c:v>1243</c:v>
                </c:pt>
                <c:pt idx="3">
                  <c:v>1265</c:v>
                </c:pt>
                <c:pt idx="4">
                  <c:v>1305</c:v>
                </c:pt>
                <c:pt idx="5">
                  <c:v>1373</c:v>
                </c:pt>
                <c:pt idx="6">
                  <c:v>1617</c:v>
                </c:pt>
                <c:pt idx="7">
                  <c:v>1965</c:v>
                </c:pt>
              </c:numCache>
            </c:numRef>
          </c:yVal>
          <c:smooth val="0"/>
          <c:extLst>
            <c:ext xmlns:c16="http://schemas.microsoft.com/office/drawing/2014/chart" uri="{C3380CC4-5D6E-409C-BE32-E72D297353CC}">
              <c16:uniqueId val="{00000007-7B3D-49F0-A5DE-8587E6D96757}"/>
            </c:ext>
          </c:extLst>
        </c:ser>
        <c:ser>
          <c:idx val="4"/>
          <c:order val="4"/>
          <c:tx>
            <c:strRef>
              <c:f>'AFMl35 cruise'!$A$76</c:f>
              <c:strCache>
                <c:ptCount val="1"/>
                <c:pt idx="0">
                  <c:v>19000</c:v>
                </c:pt>
              </c:strCache>
            </c:strRef>
          </c:tx>
          <c:spPr>
            <a:ln w="25400" cap="rnd">
              <a:noFill/>
              <a:round/>
            </a:ln>
            <a:effectLst/>
          </c:spPr>
          <c:marker>
            <c:symbol val="none"/>
          </c:marker>
          <c:trendline>
            <c:name>19000</c:name>
            <c:spPr>
              <a:ln w="19050" cap="rnd">
                <a:solidFill>
                  <a:schemeClr val="accent5"/>
                </a:solidFill>
                <a:prstDash val="sysDot"/>
              </a:ln>
              <a:effectLst/>
            </c:spPr>
            <c:trendlineType val="poly"/>
            <c:order val="2"/>
            <c:dispRSqr val="0"/>
            <c:dispEq val="0"/>
          </c:trendline>
          <c:xVal>
            <c:numRef>
              <c:f>'AFMl35 cruise'!$B$76:$B$83</c:f>
              <c:numCache>
                <c:formatCode>General</c:formatCode>
                <c:ptCount val="8"/>
                <c:pt idx="0">
                  <c:v>45000</c:v>
                </c:pt>
                <c:pt idx="1">
                  <c:v>43000</c:v>
                </c:pt>
                <c:pt idx="2">
                  <c:v>41000</c:v>
                </c:pt>
                <c:pt idx="3">
                  <c:v>39000</c:v>
                </c:pt>
                <c:pt idx="4">
                  <c:v>37000</c:v>
                </c:pt>
                <c:pt idx="5">
                  <c:v>35000</c:v>
                </c:pt>
                <c:pt idx="6">
                  <c:v>30000</c:v>
                </c:pt>
                <c:pt idx="7">
                  <c:v>25000</c:v>
                </c:pt>
              </c:numCache>
            </c:numRef>
          </c:xVal>
          <c:yVal>
            <c:numRef>
              <c:f>'AFMl35 cruise'!$M$76:$M$83</c:f>
              <c:numCache>
                <c:formatCode>General</c:formatCode>
                <c:ptCount val="8"/>
                <c:pt idx="1">
                  <c:v>1187</c:v>
                </c:pt>
                <c:pt idx="2">
                  <c:v>1192</c:v>
                </c:pt>
                <c:pt idx="3">
                  <c:v>1224</c:v>
                </c:pt>
                <c:pt idx="4">
                  <c:v>1268</c:v>
                </c:pt>
                <c:pt idx="5">
                  <c:v>1341</c:v>
                </c:pt>
                <c:pt idx="6">
                  <c:v>1596</c:v>
                </c:pt>
                <c:pt idx="7">
                  <c:v>1956</c:v>
                </c:pt>
              </c:numCache>
            </c:numRef>
          </c:yVal>
          <c:smooth val="0"/>
          <c:extLst>
            <c:ext xmlns:c16="http://schemas.microsoft.com/office/drawing/2014/chart" uri="{C3380CC4-5D6E-409C-BE32-E72D297353CC}">
              <c16:uniqueId val="{00000009-7B3D-49F0-A5DE-8587E6D96757}"/>
            </c:ext>
          </c:extLst>
        </c:ser>
        <c:ser>
          <c:idx val="5"/>
          <c:order val="5"/>
          <c:tx>
            <c:strRef>
              <c:f>'AFMl35 cruise'!$A$85</c:f>
              <c:strCache>
                <c:ptCount val="1"/>
                <c:pt idx="0">
                  <c:v>18000</c:v>
                </c:pt>
              </c:strCache>
            </c:strRef>
          </c:tx>
          <c:spPr>
            <a:ln w="25400" cap="rnd">
              <a:noFill/>
              <a:round/>
            </a:ln>
            <a:effectLst/>
          </c:spPr>
          <c:marker>
            <c:symbol val="none"/>
          </c:marker>
          <c:trendline>
            <c:name>18000</c:name>
            <c:spPr>
              <a:ln w="19050" cap="rnd">
                <a:solidFill>
                  <a:schemeClr val="accent6"/>
                </a:solidFill>
                <a:prstDash val="sysDot"/>
              </a:ln>
              <a:effectLst/>
            </c:spPr>
            <c:trendlineType val="poly"/>
            <c:order val="2"/>
            <c:dispRSqr val="0"/>
            <c:dispEq val="0"/>
          </c:trendline>
          <c:xVal>
            <c:numRef>
              <c:f>'AFMl35 cruise'!$B$85:$B$92</c:f>
              <c:numCache>
                <c:formatCode>General</c:formatCode>
                <c:ptCount val="8"/>
                <c:pt idx="0">
                  <c:v>45000</c:v>
                </c:pt>
                <c:pt idx="1">
                  <c:v>43000</c:v>
                </c:pt>
                <c:pt idx="2">
                  <c:v>41000</c:v>
                </c:pt>
                <c:pt idx="3">
                  <c:v>39000</c:v>
                </c:pt>
                <c:pt idx="4">
                  <c:v>37000</c:v>
                </c:pt>
                <c:pt idx="5">
                  <c:v>35000</c:v>
                </c:pt>
                <c:pt idx="6">
                  <c:v>30000</c:v>
                </c:pt>
                <c:pt idx="7">
                  <c:v>25000</c:v>
                </c:pt>
              </c:numCache>
            </c:numRef>
          </c:xVal>
          <c:yVal>
            <c:numRef>
              <c:f>'AFMl35 cruise'!$M$85:$M$92</c:f>
              <c:numCache>
                <c:formatCode>General</c:formatCode>
                <c:ptCount val="8"/>
                <c:pt idx="1">
                  <c:v>1130</c:v>
                </c:pt>
                <c:pt idx="2">
                  <c:v>1150</c:v>
                </c:pt>
                <c:pt idx="3">
                  <c:v>1184</c:v>
                </c:pt>
                <c:pt idx="4">
                  <c:v>1235</c:v>
                </c:pt>
                <c:pt idx="5">
                  <c:v>1311</c:v>
                </c:pt>
                <c:pt idx="6">
                  <c:v>1575</c:v>
                </c:pt>
                <c:pt idx="7">
                  <c:v>1948</c:v>
                </c:pt>
              </c:numCache>
            </c:numRef>
          </c:yVal>
          <c:smooth val="0"/>
          <c:extLst>
            <c:ext xmlns:c16="http://schemas.microsoft.com/office/drawing/2014/chart" uri="{C3380CC4-5D6E-409C-BE32-E72D297353CC}">
              <c16:uniqueId val="{0000000B-7B3D-49F0-A5DE-8587E6D96757}"/>
            </c:ext>
          </c:extLst>
        </c:ser>
        <c:ser>
          <c:idx val="6"/>
          <c:order val="6"/>
          <c:tx>
            <c:strRef>
              <c:f>'AFMl35 cruise'!$A$105</c:f>
              <c:strCache>
                <c:ptCount val="1"/>
                <c:pt idx="0">
                  <c:v>17000</c:v>
                </c:pt>
              </c:strCache>
            </c:strRef>
          </c:tx>
          <c:spPr>
            <a:ln w="25400" cap="rnd">
              <a:noFill/>
              <a:round/>
            </a:ln>
            <a:effectLst/>
          </c:spPr>
          <c:marker>
            <c:symbol val="none"/>
          </c:marker>
          <c:trendline>
            <c:name>17000</c:name>
            <c:spPr>
              <a:ln w="19050" cap="rnd">
                <a:solidFill>
                  <a:schemeClr val="accent1">
                    <a:lumMod val="60000"/>
                  </a:schemeClr>
                </a:solidFill>
                <a:prstDash val="sysDot"/>
              </a:ln>
              <a:effectLst/>
            </c:spPr>
            <c:trendlineType val="poly"/>
            <c:order val="2"/>
            <c:dispRSqr val="0"/>
            <c:dispEq val="0"/>
          </c:trendline>
          <c:xVal>
            <c:numRef>
              <c:f>'AFMl35 cruise'!$B$105:$B$112</c:f>
              <c:numCache>
                <c:formatCode>General</c:formatCode>
                <c:ptCount val="8"/>
                <c:pt idx="0">
                  <c:v>45000</c:v>
                </c:pt>
                <c:pt idx="1">
                  <c:v>43000</c:v>
                </c:pt>
                <c:pt idx="2">
                  <c:v>41000</c:v>
                </c:pt>
                <c:pt idx="3">
                  <c:v>39000</c:v>
                </c:pt>
                <c:pt idx="4">
                  <c:v>37000</c:v>
                </c:pt>
                <c:pt idx="5">
                  <c:v>35000</c:v>
                </c:pt>
                <c:pt idx="6">
                  <c:v>30000</c:v>
                </c:pt>
                <c:pt idx="7">
                  <c:v>25000</c:v>
                </c:pt>
              </c:numCache>
            </c:numRef>
          </c:xVal>
          <c:yVal>
            <c:numRef>
              <c:f>'AFMl35 cruise'!$M$105:$M$112</c:f>
              <c:numCache>
                <c:formatCode>General</c:formatCode>
                <c:ptCount val="8"/>
                <c:pt idx="1">
                  <c:v>1081</c:v>
                </c:pt>
                <c:pt idx="2">
                  <c:v>1108</c:v>
                </c:pt>
                <c:pt idx="3">
                  <c:v>1148</c:v>
                </c:pt>
                <c:pt idx="4">
                  <c:v>1203</c:v>
                </c:pt>
                <c:pt idx="5">
                  <c:v>1282</c:v>
                </c:pt>
                <c:pt idx="6">
                  <c:v>1555</c:v>
                </c:pt>
                <c:pt idx="7">
                  <c:v>1940</c:v>
                </c:pt>
              </c:numCache>
            </c:numRef>
          </c:yVal>
          <c:smooth val="0"/>
          <c:extLst>
            <c:ext xmlns:c16="http://schemas.microsoft.com/office/drawing/2014/chart" uri="{C3380CC4-5D6E-409C-BE32-E72D297353CC}">
              <c16:uniqueId val="{0000000D-7B3D-49F0-A5DE-8587E6D96757}"/>
            </c:ext>
          </c:extLst>
        </c:ser>
        <c:dLbls>
          <c:showLegendKey val="0"/>
          <c:showVal val="0"/>
          <c:showCatName val="0"/>
          <c:showSerName val="0"/>
          <c:showPercent val="0"/>
          <c:showBubbleSize val="0"/>
        </c:dLbls>
        <c:axId val="1005056032"/>
        <c:axId val="1005063104"/>
      </c:scatterChart>
      <c:valAx>
        <c:axId val="1005056032"/>
        <c:scaling>
          <c:orientation val="minMax"/>
          <c:min val="20000"/>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063104"/>
        <c:crosses val="autoZero"/>
        <c:crossBetween val="midCat"/>
      </c:valAx>
      <c:valAx>
        <c:axId val="1005063104"/>
        <c:scaling>
          <c:orientation val="minMax"/>
          <c:max val="2200"/>
          <c:min val="8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056032"/>
        <c:crosses val="autoZero"/>
        <c:crossBetween val="midCat"/>
      </c:valAx>
      <c:spPr>
        <a:noFill/>
        <a:ln>
          <a:noFill/>
        </a:ln>
        <a:effectLst/>
      </c:spPr>
    </c:plotArea>
    <c:legend>
      <c:legendPos val="r"/>
      <c:legendEntry>
        <c:idx val="0"/>
        <c:delete val="1"/>
      </c:legendEntry>
      <c:legendEntry>
        <c:idx val="1"/>
        <c:delete val="1"/>
      </c:legendEntry>
      <c:layout>
        <c:manualLayout>
          <c:xMode val="edge"/>
          <c:yMode val="edge"/>
          <c:x val="0.83959107611548556"/>
          <c:y val="0.13849112462837879"/>
          <c:w val="0.14494212598425196"/>
          <c:h val="0.4265432697690039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L31 Clean - Normal Cruise</a:t>
            </a:r>
            <a:r>
              <a:rPr lang="en-AU" baseline="0"/>
              <a:t> </a:t>
            </a:r>
            <a:r>
              <a:rPr lang="en-AU"/>
              <a:t>Fuel</a:t>
            </a:r>
            <a:r>
              <a:rPr lang="en-AU" baseline="0"/>
              <a:t> Flow- AFM Data @ ISA + 10</a:t>
            </a:r>
            <a:endParaRPr lang="en-AU"/>
          </a:p>
        </c:rich>
      </c:tx>
      <c:layout>
        <c:manualLayout>
          <c:xMode val="edge"/>
          <c:yMode val="edge"/>
          <c:x val="0.21699590328137752"/>
          <c:y val="5.89784096893101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81522309711286E-2"/>
          <c:y val="1.8957345971563982E-2"/>
          <c:w val="0.73710918635170608"/>
          <c:h val="0.92796573414105232"/>
        </c:manualLayout>
      </c:layout>
      <c:scatterChart>
        <c:scatterStyle val="lineMarker"/>
        <c:varyColors val="0"/>
        <c:ser>
          <c:idx val="9"/>
          <c:order val="0"/>
          <c:tx>
            <c:strRef>
              <c:f>'Legacy Data'!$A$1</c:f>
              <c:strCache>
                <c:ptCount val="1"/>
                <c:pt idx="0">
                  <c:v>LR31</c:v>
                </c:pt>
              </c:strCache>
            </c:strRef>
          </c:tx>
          <c:spPr>
            <a:ln w="25400" cap="rnd">
              <a:noFill/>
              <a:round/>
            </a:ln>
            <a:effectLst/>
          </c:spPr>
          <c:marker>
            <c:symbol val="circle"/>
            <c:size val="5"/>
            <c:spPr>
              <a:solidFill>
                <a:schemeClr val="accent4">
                  <a:lumMod val="60000"/>
                </a:schemeClr>
              </a:solidFill>
              <a:ln w="9525">
                <a:solidFill>
                  <a:srgbClr val="FF0000"/>
                </a:solidFill>
              </a:ln>
              <a:effectLst/>
            </c:spPr>
          </c:marker>
          <c:trendline>
            <c:name>LJZ CURVE</c:name>
            <c:spPr>
              <a:ln w="19050" cap="rnd">
                <a:solidFill>
                  <a:srgbClr val="FF0000"/>
                </a:solidFill>
                <a:prstDash val="solid"/>
              </a:ln>
              <a:effectLst/>
            </c:spPr>
            <c:trendlineType val="poly"/>
            <c:order val="6"/>
            <c:dispRSqr val="0"/>
            <c:dispEq val="0"/>
          </c:trendline>
          <c:xVal>
            <c:numRef>
              <c:f>'Legacy Data'!$A$3:$A$12</c:f>
              <c:numCache>
                <c:formatCode>General</c:formatCode>
                <c:ptCount val="10"/>
                <c:pt idx="0">
                  <c:v>43000</c:v>
                </c:pt>
                <c:pt idx="1">
                  <c:v>10000</c:v>
                </c:pt>
                <c:pt idx="2">
                  <c:v>15000</c:v>
                </c:pt>
                <c:pt idx="3">
                  <c:v>35000</c:v>
                </c:pt>
                <c:pt idx="4">
                  <c:v>5000</c:v>
                </c:pt>
                <c:pt idx="5">
                  <c:v>39000</c:v>
                </c:pt>
                <c:pt idx="6">
                  <c:v>25000</c:v>
                </c:pt>
                <c:pt idx="7">
                  <c:v>41000</c:v>
                </c:pt>
                <c:pt idx="8">
                  <c:v>30000</c:v>
                </c:pt>
                <c:pt idx="9">
                  <c:v>20000</c:v>
                </c:pt>
              </c:numCache>
            </c:numRef>
          </c:xVal>
          <c:yVal>
            <c:numRef>
              <c:f>'Legacy Data'!$D$3:$D$12</c:f>
              <c:numCache>
                <c:formatCode>General</c:formatCode>
                <c:ptCount val="10"/>
                <c:pt idx="0">
                  <c:v>1292</c:v>
                </c:pt>
                <c:pt idx="1">
                  <c:v>3000</c:v>
                </c:pt>
                <c:pt idx="2">
                  <c:v>2500</c:v>
                </c:pt>
                <c:pt idx="3">
                  <c:v>1399</c:v>
                </c:pt>
                <c:pt idx="4">
                  <c:v>3000</c:v>
                </c:pt>
                <c:pt idx="5">
                  <c:v>1325</c:v>
                </c:pt>
                <c:pt idx="6">
                  <c:v>1950</c:v>
                </c:pt>
                <c:pt idx="7">
                  <c:v>1327</c:v>
                </c:pt>
                <c:pt idx="8">
                  <c:v>1625</c:v>
                </c:pt>
                <c:pt idx="9">
                  <c:v>2000</c:v>
                </c:pt>
              </c:numCache>
            </c:numRef>
          </c:yVal>
          <c:smooth val="0"/>
          <c:extLst>
            <c:ext xmlns:c16="http://schemas.microsoft.com/office/drawing/2014/chart" uri="{C3380CC4-5D6E-409C-BE32-E72D297353CC}">
              <c16:uniqueId val="{00000001-5452-462C-B6B7-1B590420B05E}"/>
            </c:ext>
          </c:extLst>
        </c:ser>
        <c:ser>
          <c:idx val="1"/>
          <c:order val="1"/>
          <c:tx>
            <c:strRef>
              <c:f>'AFMl35 cruise'!$A$95</c:f>
              <c:strCache>
                <c:ptCount val="1"/>
                <c:pt idx="0">
                  <c:v>17500</c:v>
                </c:pt>
              </c:strCache>
            </c:strRef>
          </c:tx>
          <c:spPr>
            <a:ln w="25400" cap="rnd">
              <a:noFill/>
              <a:round/>
            </a:ln>
            <a:effectLst/>
          </c:spPr>
          <c:marker>
            <c:symbol val="none"/>
          </c:marker>
          <c:trendline>
            <c:name>17500</c:name>
            <c:spPr>
              <a:ln w="19050" cap="rnd">
                <a:solidFill>
                  <a:schemeClr val="accent2"/>
                </a:solidFill>
                <a:prstDash val="sysDot"/>
              </a:ln>
              <a:effectLst/>
            </c:spPr>
            <c:trendlineType val="poly"/>
            <c:order val="2"/>
            <c:dispRSqr val="0"/>
            <c:dispEq val="0"/>
          </c:trendline>
          <c:xVal>
            <c:numRef>
              <c:f>'AFMl35 cruise'!$B$98:$B$101</c:f>
              <c:numCache>
                <c:formatCode>General</c:formatCode>
                <c:ptCount val="4"/>
                <c:pt idx="0">
                  <c:v>39000</c:v>
                </c:pt>
                <c:pt idx="1">
                  <c:v>37000</c:v>
                </c:pt>
                <c:pt idx="2">
                  <c:v>35000</c:v>
                </c:pt>
                <c:pt idx="3">
                  <c:v>30000</c:v>
                </c:pt>
              </c:numCache>
            </c:numRef>
          </c:xVal>
          <c:yVal>
            <c:numRef>
              <c:f>'AFMl35 cruise'!$J$98:$J$101</c:f>
              <c:numCache>
                <c:formatCode>General</c:formatCode>
                <c:ptCount val="4"/>
                <c:pt idx="0">
                  <c:v>1173</c:v>
                </c:pt>
                <c:pt idx="1">
                  <c:v>1223</c:v>
                </c:pt>
                <c:pt idx="2">
                  <c:v>1297</c:v>
                </c:pt>
                <c:pt idx="3">
                  <c:v>1553</c:v>
                </c:pt>
              </c:numCache>
            </c:numRef>
          </c:yVal>
          <c:smooth val="0"/>
          <c:extLst>
            <c:ext xmlns:c16="http://schemas.microsoft.com/office/drawing/2014/chart" uri="{C3380CC4-5D6E-409C-BE32-E72D297353CC}">
              <c16:uniqueId val="{00000003-5452-462C-B6B7-1B590420B05E}"/>
            </c:ext>
          </c:extLst>
        </c:ser>
        <c:ser>
          <c:idx val="2"/>
          <c:order val="2"/>
          <c:tx>
            <c:strRef>
              <c:f>'AFMl35 cruise'!$A$105</c:f>
              <c:strCache>
                <c:ptCount val="1"/>
                <c:pt idx="0">
                  <c:v>17000</c:v>
                </c:pt>
              </c:strCache>
            </c:strRef>
          </c:tx>
          <c:spPr>
            <a:ln w="25400" cap="rnd">
              <a:noFill/>
              <a:round/>
            </a:ln>
            <a:effectLst/>
          </c:spPr>
          <c:marker>
            <c:symbol val="none"/>
          </c:marker>
          <c:trendline>
            <c:name>17000</c:name>
            <c:spPr>
              <a:ln w="19050" cap="rnd">
                <a:solidFill>
                  <a:schemeClr val="accent3"/>
                </a:solidFill>
                <a:prstDash val="sysDot"/>
              </a:ln>
              <a:effectLst/>
            </c:spPr>
            <c:trendlineType val="poly"/>
            <c:order val="2"/>
            <c:dispRSqr val="0"/>
            <c:dispEq val="0"/>
          </c:trendline>
          <c:xVal>
            <c:numRef>
              <c:f>'AFMl35 cruise'!$B$108:$B$111</c:f>
              <c:numCache>
                <c:formatCode>General</c:formatCode>
                <c:ptCount val="4"/>
                <c:pt idx="0">
                  <c:v>39000</c:v>
                </c:pt>
                <c:pt idx="1">
                  <c:v>37000</c:v>
                </c:pt>
                <c:pt idx="2">
                  <c:v>35000</c:v>
                </c:pt>
                <c:pt idx="3">
                  <c:v>30000</c:v>
                </c:pt>
              </c:numCache>
            </c:numRef>
          </c:xVal>
          <c:yVal>
            <c:numRef>
              <c:f>'AFMl35 cruise'!$J$108:$J$111</c:f>
              <c:numCache>
                <c:formatCode>General</c:formatCode>
                <c:ptCount val="4"/>
                <c:pt idx="0">
                  <c:v>1155</c:v>
                </c:pt>
                <c:pt idx="1">
                  <c:v>1208</c:v>
                </c:pt>
                <c:pt idx="2">
                  <c:v>1284</c:v>
                </c:pt>
                <c:pt idx="3">
                  <c:v>1543</c:v>
                </c:pt>
              </c:numCache>
            </c:numRef>
          </c:yVal>
          <c:smooth val="0"/>
          <c:extLst>
            <c:ext xmlns:c16="http://schemas.microsoft.com/office/drawing/2014/chart" uri="{C3380CC4-5D6E-409C-BE32-E72D297353CC}">
              <c16:uniqueId val="{00000005-5452-462C-B6B7-1B590420B05E}"/>
            </c:ext>
          </c:extLst>
        </c:ser>
        <c:ser>
          <c:idx val="3"/>
          <c:order val="3"/>
          <c:tx>
            <c:strRef>
              <c:f>'AFMl35 cruise'!$A$114</c:f>
              <c:strCache>
                <c:ptCount val="1"/>
                <c:pt idx="0">
                  <c:v>16500</c:v>
                </c:pt>
              </c:strCache>
            </c:strRef>
          </c:tx>
          <c:spPr>
            <a:ln w="25400" cap="rnd">
              <a:noFill/>
              <a:round/>
            </a:ln>
            <a:effectLst/>
          </c:spPr>
          <c:marker>
            <c:symbol val="none"/>
          </c:marker>
          <c:trendline>
            <c:name>16500</c:name>
            <c:spPr>
              <a:ln w="19050" cap="rnd">
                <a:solidFill>
                  <a:schemeClr val="accent4"/>
                </a:solidFill>
                <a:prstDash val="sysDot"/>
              </a:ln>
              <a:effectLst/>
            </c:spPr>
            <c:trendlineType val="poly"/>
            <c:order val="2"/>
            <c:dispRSqr val="0"/>
            <c:dispEq val="0"/>
          </c:trendline>
          <c:xVal>
            <c:numRef>
              <c:f>'AFMl35 cruise'!$B$117:$B$120</c:f>
              <c:numCache>
                <c:formatCode>General</c:formatCode>
                <c:ptCount val="4"/>
                <c:pt idx="0">
                  <c:v>39000</c:v>
                </c:pt>
                <c:pt idx="1">
                  <c:v>37000</c:v>
                </c:pt>
                <c:pt idx="2">
                  <c:v>35000</c:v>
                </c:pt>
                <c:pt idx="3">
                  <c:v>30000</c:v>
                </c:pt>
              </c:numCache>
            </c:numRef>
          </c:xVal>
          <c:yVal>
            <c:numRef>
              <c:f>'AFMl35 cruise'!$J$117:$J$120</c:f>
              <c:numCache>
                <c:formatCode>General</c:formatCode>
                <c:ptCount val="4"/>
                <c:pt idx="0">
                  <c:v>1139</c:v>
                </c:pt>
                <c:pt idx="1">
                  <c:v>1194</c:v>
                </c:pt>
                <c:pt idx="2">
                  <c:v>1272</c:v>
                </c:pt>
                <c:pt idx="3">
                  <c:v>1534</c:v>
                </c:pt>
              </c:numCache>
            </c:numRef>
          </c:yVal>
          <c:smooth val="0"/>
          <c:extLst>
            <c:ext xmlns:c16="http://schemas.microsoft.com/office/drawing/2014/chart" uri="{C3380CC4-5D6E-409C-BE32-E72D297353CC}">
              <c16:uniqueId val="{00000007-5452-462C-B6B7-1B590420B05E}"/>
            </c:ext>
          </c:extLst>
        </c:ser>
        <c:ser>
          <c:idx val="4"/>
          <c:order val="4"/>
          <c:tx>
            <c:strRef>
              <c:f>'AFMl35 cruise'!$A$123</c:f>
              <c:strCache>
                <c:ptCount val="1"/>
                <c:pt idx="0">
                  <c:v>16000</c:v>
                </c:pt>
              </c:strCache>
            </c:strRef>
          </c:tx>
          <c:spPr>
            <a:ln w="25400" cap="rnd">
              <a:noFill/>
              <a:round/>
            </a:ln>
            <a:effectLst/>
          </c:spPr>
          <c:marker>
            <c:symbol val="none"/>
          </c:marker>
          <c:trendline>
            <c:name>16000</c:name>
            <c:spPr>
              <a:ln w="19050" cap="rnd">
                <a:solidFill>
                  <a:schemeClr val="accent5"/>
                </a:solidFill>
                <a:prstDash val="sysDot"/>
              </a:ln>
              <a:effectLst/>
            </c:spPr>
            <c:trendlineType val="poly"/>
            <c:order val="2"/>
            <c:dispRSqr val="0"/>
            <c:dispEq val="0"/>
          </c:trendline>
          <c:xVal>
            <c:numRef>
              <c:f>'AFMl35 cruise'!$B$125:$B$129</c:f>
              <c:numCache>
                <c:formatCode>General</c:formatCode>
                <c:ptCount val="5"/>
                <c:pt idx="0">
                  <c:v>41000</c:v>
                </c:pt>
                <c:pt idx="1">
                  <c:v>39000</c:v>
                </c:pt>
                <c:pt idx="2">
                  <c:v>37000</c:v>
                </c:pt>
                <c:pt idx="3">
                  <c:v>35000</c:v>
                </c:pt>
                <c:pt idx="4">
                  <c:v>30000</c:v>
                </c:pt>
              </c:numCache>
            </c:numRef>
          </c:xVal>
          <c:yVal>
            <c:numRef>
              <c:f>'AFMl35 cruise'!$J$125:$J$129</c:f>
              <c:numCache>
                <c:formatCode>General</c:formatCode>
                <c:ptCount val="5"/>
                <c:pt idx="0">
                  <c:v>1079</c:v>
                </c:pt>
                <c:pt idx="1">
                  <c:v>1123</c:v>
                </c:pt>
                <c:pt idx="2">
                  <c:v>1182</c:v>
                </c:pt>
                <c:pt idx="3">
                  <c:v>1261</c:v>
                </c:pt>
                <c:pt idx="4">
                  <c:v>1524</c:v>
                </c:pt>
              </c:numCache>
            </c:numRef>
          </c:yVal>
          <c:smooth val="0"/>
          <c:extLst>
            <c:ext xmlns:c16="http://schemas.microsoft.com/office/drawing/2014/chart" uri="{C3380CC4-5D6E-409C-BE32-E72D297353CC}">
              <c16:uniqueId val="{00000009-5452-462C-B6B7-1B590420B05E}"/>
            </c:ext>
          </c:extLst>
        </c:ser>
        <c:ser>
          <c:idx val="5"/>
          <c:order val="5"/>
          <c:tx>
            <c:strRef>
              <c:f>'AFMl35 cruise'!$A$132</c:f>
              <c:strCache>
                <c:ptCount val="1"/>
                <c:pt idx="0">
                  <c:v>15500</c:v>
                </c:pt>
              </c:strCache>
            </c:strRef>
          </c:tx>
          <c:spPr>
            <a:ln w="25400" cap="rnd">
              <a:noFill/>
              <a:round/>
            </a:ln>
            <a:effectLst/>
          </c:spPr>
          <c:marker>
            <c:symbol val="none"/>
          </c:marker>
          <c:trendline>
            <c:name>15500 USED</c:name>
            <c:spPr>
              <a:ln w="19050" cap="rnd">
                <a:solidFill>
                  <a:schemeClr val="tx1"/>
                </a:solidFill>
                <a:prstDash val="solid"/>
              </a:ln>
              <a:effectLst/>
            </c:spPr>
            <c:trendlineType val="poly"/>
            <c:order val="4"/>
            <c:forward val="5000"/>
            <c:backward val="10000"/>
            <c:intercept val="4000"/>
            <c:dispRSqr val="1"/>
            <c:dispEq val="1"/>
            <c:trendlineLbl>
              <c:layout>
                <c:manualLayout>
                  <c:x val="7.8773490813648289E-2"/>
                  <c:y val="-0.3892973094003059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'AFMl35 cruise'!$B$134:$B$138</c:f>
              <c:numCache>
                <c:formatCode>General</c:formatCode>
                <c:ptCount val="5"/>
                <c:pt idx="0">
                  <c:v>41000</c:v>
                </c:pt>
                <c:pt idx="1">
                  <c:v>39000</c:v>
                </c:pt>
                <c:pt idx="2">
                  <c:v>37000</c:v>
                </c:pt>
                <c:pt idx="3">
                  <c:v>35000</c:v>
                </c:pt>
                <c:pt idx="4">
                  <c:v>30000</c:v>
                </c:pt>
              </c:numCache>
            </c:numRef>
          </c:xVal>
          <c:yVal>
            <c:numRef>
              <c:f>'AFMl35 cruise'!$J$134:$J$138</c:f>
              <c:numCache>
                <c:formatCode>General</c:formatCode>
                <c:ptCount val="5"/>
                <c:pt idx="0">
                  <c:v>1062</c:v>
                </c:pt>
                <c:pt idx="1">
                  <c:v>1107</c:v>
                </c:pt>
                <c:pt idx="2">
                  <c:v>1170</c:v>
                </c:pt>
                <c:pt idx="3">
                  <c:v>1250</c:v>
                </c:pt>
                <c:pt idx="4">
                  <c:v>1516</c:v>
                </c:pt>
              </c:numCache>
            </c:numRef>
          </c:yVal>
          <c:smooth val="0"/>
          <c:extLst>
            <c:ext xmlns:c16="http://schemas.microsoft.com/office/drawing/2014/chart" uri="{C3380CC4-5D6E-409C-BE32-E72D297353CC}">
              <c16:uniqueId val="{0000000B-5452-462C-B6B7-1B590420B05E}"/>
            </c:ext>
          </c:extLst>
        </c:ser>
        <c:ser>
          <c:idx val="6"/>
          <c:order val="6"/>
          <c:tx>
            <c:strRef>
              <c:f>'AFMl35 cruise'!$A$141</c:f>
              <c:strCache>
                <c:ptCount val="1"/>
                <c:pt idx="0">
                  <c:v>15000</c:v>
                </c:pt>
              </c:strCache>
            </c:strRef>
          </c:tx>
          <c:spPr>
            <a:ln w="25400" cap="rnd">
              <a:noFill/>
              <a:round/>
            </a:ln>
            <a:effectLst/>
          </c:spPr>
          <c:marker>
            <c:symbol val="none"/>
          </c:marker>
          <c:trendline>
            <c:name>15000</c:name>
            <c:spPr>
              <a:ln w="19050" cap="rnd">
                <a:solidFill>
                  <a:schemeClr val="accent1">
                    <a:lumMod val="60000"/>
                  </a:schemeClr>
                </a:solidFill>
                <a:prstDash val="sysDot"/>
              </a:ln>
              <a:effectLst/>
            </c:spPr>
            <c:trendlineType val="poly"/>
            <c:order val="2"/>
            <c:dispRSqr val="0"/>
            <c:dispEq val="0"/>
          </c:trendline>
          <c:xVal>
            <c:numRef>
              <c:f>'AFMl35 cruise'!$B$143:$B$147</c:f>
              <c:numCache>
                <c:formatCode>General</c:formatCode>
                <c:ptCount val="5"/>
                <c:pt idx="0">
                  <c:v>41000</c:v>
                </c:pt>
                <c:pt idx="1">
                  <c:v>39000</c:v>
                </c:pt>
                <c:pt idx="2">
                  <c:v>37000</c:v>
                </c:pt>
                <c:pt idx="3">
                  <c:v>35000</c:v>
                </c:pt>
                <c:pt idx="4">
                  <c:v>30000</c:v>
                </c:pt>
              </c:numCache>
            </c:numRef>
          </c:xVal>
          <c:yVal>
            <c:numRef>
              <c:f>'AFMl35 cruise'!$J$143:$J$147</c:f>
              <c:numCache>
                <c:formatCode>General</c:formatCode>
                <c:ptCount val="5"/>
                <c:pt idx="0">
                  <c:v>1045</c:v>
                </c:pt>
                <c:pt idx="1">
                  <c:v>1094</c:v>
                </c:pt>
                <c:pt idx="2">
                  <c:v>1158</c:v>
                </c:pt>
                <c:pt idx="3">
                  <c:v>1240</c:v>
                </c:pt>
                <c:pt idx="4">
                  <c:v>1508</c:v>
                </c:pt>
              </c:numCache>
            </c:numRef>
          </c:yVal>
          <c:smooth val="0"/>
          <c:extLst>
            <c:ext xmlns:c16="http://schemas.microsoft.com/office/drawing/2014/chart" uri="{C3380CC4-5D6E-409C-BE32-E72D297353CC}">
              <c16:uniqueId val="{0000000D-5452-462C-B6B7-1B590420B05E}"/>
            </c:ext>
          </c:extLst>
        </c:ser>
        <c:ser>
          <c:idx val="7"/>
          <c:order val="7"/>
          <c:tx>
            <c:strRef>
              <c:f>'AFMl35 cruise'!$A$150</c:f>
              <c:strCache>
                <c:ptCount val="1"/>
                <c:pt idx="0">
                  <c:v>14500</c:v>
                </c:pt>
              </c:strCache>
            </c:strRef>
          </c:tx>
          <c:spPr>
            <a:ln w="25400" cap="rnd">
              <a:noFill/>
              <a:round/>
            </a:ln>
            <a:effectLst/>
          </c:spPr>
          <c:marker>
            <c:symbol val="none"/>
          </c:marker>
          <c:trendline>
            <c:name>14500</c:name>
            <c:spPr>
              <a:ln w="19050" cap="rnd">
                <a:solidFill>
                  <a:schemeClr val="accent2">
                    <a:lumMod val="60000"/>
                  </a:schemeClr>
                </a:solidFill>
                <a:prstDash val="sysDot"/>
              </a:ln>
              <a:effectLst/>
            </c:spPr>
            <c:trendlineType val="poly"/>
            <c:order val="2"/>
            <c:dispRSqr val="0"/>
            <c:dispEq val="0"/>
          </c:trendline>
          <c:xVal>
            <c:numRef>
              <c:f>'AFMl35 cruise'!$B$151:$B$156</c:f>
              <c:numCache>
                <c:formatCode>General</c:formatCode>
                <c:ptCount val="6"/>
                <c:pt idx="0">
                  <c:v>43000</c:v>
                </c:pt>
                <c:pt idx="1">
                  <c:v>41000</c:v>
                </c:pt>
                <c:pt idx="2">
                  <c:v>39000</c:v>
                </c:pt>
                <c:pt idx="3">
                  <c:v>37000</c:v>
                </c:pt>
                <c:pt idx="4">
                  <c:v>35000</c:v>
                </c:pt>
                <c:pt idx="5">
                  <c:v>30000</c:v>
                </c:pt>
              </c:numCache>
            </c:numRef>
          </c:xVal>
          <c:yVal>
            <c:numRef>
              <c:f>'AFMl35 cruise'!$J$151:$J$156</c:f>
              <c:numCache>
                <c:formatCode>General</c:formatCode>
                <c:ptCount val="6"/>
                <c:pt idx="0">
                  <c:v>990</c:v>
                </c:pt>
                <c:pt idx="1">
                  <c:v>1029</c:v>
                </c:pt>
                <c:pt idx="2">
                  <c:v>1082</c:v>
                </c:pt>
                <c:pt idx="3">
                  <c:v>1146</c:v>
                </c:pt>
                <c:pt idx="4">
                  <c:v>1230</c:v>
                </c:pt>
                <c:pt idx="5">
                  <c:v>1500</c:v>
                </c:pt>
              </c:numCache>
            </c:numRef>
          </c:yVal>
          <c:smooth val="0"/>
          <c:extLst>
            <c:ext xmlns:c16="http://schemas.microsoft.com/office/drawing/2014/chart" uri="{C3380CC4-5D6E-409C-BE32-E72D297353CC}">
              <c16:uniqueId val="{0000000F-5452-462C-B6B7-1B590420B05E}"/>
            </c:ext>
          </c:extLst>
        </c:ser>
        <c:ser>
          <c:idx val="8"/>
          <c:order val="8"/>
          <c:tx>
            <c:strRef>
              <c:f>'AFMl35 cruise'!$A$159</c:f>
              <c:strCache>
                <c:ptCount val="1"/>
                <c:pt idx="0">
                  <c:v>14000</c:v>
                </c:pt>
              </c:strCache>
            </c:strRef>
          </c:tx>
          <c:spPr>
            <a:ln w="25400" cap="rnd">
              <a:noFill/>
              <a:round/>
            </a:ln>
            <a:effectLst/>
          </c:spPr>
          <c:marker>
            <c:symbol val="none"/>
          </c:marker>
          <c:trendline>
            <c:name>14000</c:name>
            <c:spPr>
              <a:ln w="19050" cap="rnd">
                <a:solidFill>
                  <a:schemeClr val="accent1"/>
                </a:solidFill>
                <a:prstDash val="sysDot"/>
              </a:ln>
              <a:effectLst/>
            </c:spPr>
            <c:trendlineType val="poly"/>
            <c:order val="2"/>
            <c:dispRSqr val="0"/>
            <c:dispEq val="0"/>
          </c:trendline>
          <c:xVal>
            <c:numRef>
              <c:f>'AFMl35 cruise'!$B$160:$B$165</c:f>
              <c:numCache>
                <c:formatCode>General</c:formatCode>
                <c:ptCount val="6"/>
                <c:pt idx="0">
                  <c:v>43000</c:v>
                </c:pt>
                <c:pt idx="1">
                  <c:v>41000</c:v>
                </c:pt>
                <c:pt idx="2">
                  <c:v>39000</c:v>
                </c:pt>
                <c:pt idx="3">
                  <c:v>37000</c:v>
                </c:pt>
                <c:pt idx="4">
                  <c:v>35000</c:v>
                </c:pt>
                <c:pt idx="5">
                  <c:v>30000</c:v>
                </c:pt>
              </c:numCache>
            </c:numRef>
          </c:xVal>
          <c:yVal>
            <c:numRef>
              <c:f>'AFMl35 cruise'!$J$160:$J$165</c:f>
              <c:numCache>
                <c:formatCode>General</c:formatCode>
                <c:ptCount val="6"/>
                <c:pt idx="0">
                  <c:v>973</c:v>
                </c:pt>
                <c:pt idx="1">
                  <c:v>1014</c:v>
                </c:pt>
                <c:pt idx="2">
                  <c:v>1071</c:v>
                </c:pt>
                <c:pt idx="3">
                  <c:v>1136</c:v>
                </c:pt>
                <c:pt idx="4">
                  <c:v>1220</c:v>
                </c:pt>
                <c:pt idx="5">
                  <c:v>1492</c:v>
                </c:pt>
              </c:numCache>
            </c:numRef>
          </c:yVal>
          <c:smooth val="0"/>
          <c:extLst>
            <c:ext xmlns:c16="http://schemas.microsoft.com/office/drawing/2014/chart" uri="{C3380CC4-5D6E-409C-BE32-E72D297353CC}">
              <c16:uniqueId val="{00000011-5452-462C-B6B7-1B590420B05E}"/>
            </c:ext>
          </c:extLst>
        </c:ser>
        <c:ser>
          <c:idx val="0"/>
          <c:order val="9"/>
          <c:tx>
            <c:strRef>
              <c:f>'AFMl35 cruise'!$A$168</c:f>
              <c:strCache>
                <c:ptCount val="1"/>
                <c:pt idx="0">
                  <c:v>13500</c:v>
                </c:pt>
              </c:strCache>
            </c:strRef>
          </c:tx>
          <c:spPr>
            <a:ln w="25400" cap="rnd">
              <a:noFill/>
              <a:round/>
            </a:ln>
            <a:effectLst/>
          </c:spPr>
          <c:marker>
            <c:symbol val="none"/>
          </c:marker>
          <c:trendline>
            <c:name>13500</c:name>
            <c:spPr>
              <a:ln w="19050" cap="rnd">
                <a:solidFill>
                  <a:schemeClr val="accent1"/>
                </a:solidFill>
                <a:prstDash val="sysDot"/>
              </a:ln>
              <a:effectLst/>
            </c:spPr>
            <c:trendlineType val="poly"/>
            <c:order val="2"/>
            <c:dispRSqr val="0"/>
            <c:dispEq val="0"/>
          </c:trendline>
          <c:xVal>
            <c:numRef>
              <c:f>'AFMl35 cruise'!$B$169:$B$174</c:f>
              <c:numCache>
                <c:formatCode>General</c:formatCode>
                <c:ptCount val="6"/>
                <c:pt idx="0">
                  <c:v>43000</c:v>
                </c:pt>
                <c:pt idx="1">
                  <c:v>41000</c:v>
                </c:pt>
                <c:pt idx="2">
                  <c:v>39000</c:v>
                </c:pt>
                <c:pt idx="3">
                  <c:v>37000</c:v>
                </c:pt>
                <c:pt idx="4">
                  <c:v>35000</c:v>
                </c:pt>
                <c:pt idx="5">
                  <c:v>30000</c:v>
                </c:pt>
              </c:numCache>
            </c:numRef>
          </c:xVal>
          <c:yVal>
            <c:numRef>
              <c:f>'AFMl35 cruise'!$J$169:$J$174</c:f>
              <c:numCache>
                <c:formatCode>General</c:formatCode>
                <c:ptCount val="6"/>
                <c:pt idx="0">
                  <c:v>957</c:v>
                </c:pt>
                <c:pt idx="1">
                  <c:v>1001</c:v>
                </c:pt>
                <c:pt idx="2">
                  <c:v>1060</c:v>
                </c:pt>
                <c:pt idx="3">
                  <c:v>1126</c:v>
                </c:pt>
                <c:pt idx="4">
                  <c:v>1211</c:v>
                </c:pt>
                <c:pt idx="5">
                  <c:v>1485</c:v>
                </c:pt>
              </c:numCache>
            </c:numRef>
          </c:yVal>
          <c:smooth val="0"/>
          <c:extLst>
            <c:ext xmlns:c16="http://schemas.microsoft.com/office/drawing/2014/chart" uri="{C3380CC4-5D6E-409C-BE32-E72D297353CC}">
              <c16:uniqueId val="{00000013-5452-462C-B6B7-1B590420B05E}"/>
            </c:ext>
          </c:extLst>
        </c:ser>
        <c:ser>
          <c:idx val="12"/>
          <c:order val="10"/>
          <c:tx>
            <c:strRef>
              <c:f>'AFMl35 cruise'!$A$177</c:f>
              <c:strCache>
                <c:ptCount val="1"/>
                <c:pt idx="0">
                  <c:v>13000</c:v>
                </c:pt>
              </c:strCache>
            </c:strRef>
          </c:tx>
          <c:spPr>
            <a:ln w="25400" cap="rnd">
              <a:noFill/>
              <a:round/>
            </a:ln>
            <a:effectLst/>
          </c:spPr>
          <c:marker>
            <c:symbol val="none"/>
          </c:marker>
          <c:trendline>
            <c:name>13000</c:name>
            <c:spPr>
              <a:ln w="19050" cap="rnd">
                <a:solidFill>
                  <a:schemeClr val="accent1">
                    <a:lumMod val="80000"/>
                    <a:lumOff val="20000"/>
                  </a:schemeClr>
                </a:solidFill>
                <a:prstDash val="sysDot"/>
              </a:ln>
              <a:effectLst/>
            </c:spPr>
            <c:trendlineType val="poly"/>
            <c:order val="2"/>
            <c:dispRSqr val="0"/>
            <c:dispEq val="0"/>
          </c:trendline>
          <c:xVal>
            <c:numRef>
              <c:f>'AFMl35 cruise'!$B$178:$B$183</c:f>
              <c:numCache>
                <c:formatCode>General</c:formatCode>
                <c:ptCount val="6"/>
                <c:pt idx="0">
                  <c:v>43000</c:v>
                </c:pt>
                <c:pt idx="1">
                  <c:v>41000</c:v>
                </c:pt>
                <c:pt idx="2">
                  <c:v>39000</c:v>
                </c:pt>
                <c:pt idx="3">
                  <c:v>37000</c:v>
                </c:pt>
                <c:pt idx="4">
                  <c:v>35000</c:v>
                </c:pt>
                <c:pt idx="5">
                  <c:v>30000</c:v>
                </c:pt>
              </c:numCache>
            </c:numRef>
          </c:xVal>
          <c:yVal>
            <c:numRef>
              <c:f>'AFMl35 cruise'!$J$178:$J$183</c:f>
              <c:numCache>
                <c:formatCode>General</c:formatCode>
                <c:ptCount val="6"/>
                <c:pt idx="0">
                  <c:v>941</c:v>
                </c:pt>
                <c:pt idx="1">
                  <c:v>989</c:v>
                </c:pt>
                <c:pt idx="2">
                  <c:v>1049</c:v>
                </c:pt>
                <c:pt idx="3">
                  <c:v>1116</c:v>
                </c:pt>
                <c:pt idx="4">
                  <c:v>1202</c:v>
                </c:pt>
                <c:pt idx="5">
                  <c:v>1479</c:v>
                </c:pt>
              </c:numCache>
            </c:numRef>
          </c:yVal>
          <c:smooth val="0"/>
          <c:extLst>
            <c:ext xmlns:c16="http://schemas.microsoft.com/office/drawing/2014/chart" uri="{C3380CC4-5D6E-409C-BE32-E72D297353CC}">
              <c16:uniqueId val="{00000015-5452-462C-B6B7-1B590420B05E}"/>
            </c:ext>
          </c:extLst>
        </c:ser>
        <c:ser>
          <c:idx val="13"/>
          <c:order val="11"/>
          <c:tx>
            <c:strRef>
              <c:f>'AFMl35 cruise'!$A$186</c:f>
              <c:strCache>
                <c:ptCount val="1"/>
                <c:pt idx="0">
                  <c:v>12500</c:v>
                </c:pt>
              </c:strCache>
            </c:strRef>
          </c:tx>
          <c:spPr>
            <a:ln w="25400" cap="rnd">
              <a:noFill/>
              <a:round/>
            </a:ln>
            <a:effectLst/>
          </c:spPr>
          <c:marker>
            <c:symbol val="none"/>
          </c:marker>
          <c:trendline>
            <c:name>12500</c:name>
            <c:spPr>
              <a:ln w="19050" cap="rnd">
                <a:solidFill>
                  <a:schemeClr val="accent2">
                    <a:lumMod val="80000"/>
                    <a:lumOff val="20000"/>
                  </a:schemeClr>
                </a:solidFill>
                <a:prstDash val="sysDot"/>
              </a:ln>
              <a:effectLst/>
            </c:spPr>
            <c:trendlineType val="poly"/>
            <c:order val="2"/>
            <c:dispRSqr val="0"/>
            <c:dispEq val="0"/>
          </c:trendline>
          <c:xVal>
            <c:numRef>
              <c:f>'AFMl35 cruise'!$B$186:$B$192</c:f>
              <c:numCache>
                <c:formatCode>General</c:formatCode>
                <c:ptCount val="7"/>
                <c:pt idx="0">
                  <c:v>45000</c:v>
                </c:pt>
                <c:pt idx="1">
                  <c:v>43000</c:v>
                </c:pt>
                <c:pt idx="2">
                  <c:v>41000</c:v>
                </c:pt>
                <c:pt idx="3">
                  <c:v>39000</c:v>
                </c:pt>
                <c:pt idx="4">
                  <c:v>37000</c:v>
                </c:pt>
                <c:pt idx="5">
                  <c:v>35000</c:v>
                </c:pt>
                <c:pt idx="6">
                  <c:v>30000</c:v>
                </c:pt>
              </c:numCache>
            </c:numRef>
          </c:xVal>
          <c:yVal>
            <c:numRef>
              <c:f>'AFMl35 cruise'!$J$186:$J$192</c:f>
              <c:numCache>
                <c:formatCode>General</c:formatCode>
                <c:ptCount val="7"/>
                <c:pt idx="0">
                  <c:v>889</c:v>
                </c:pt>
                <c:pt idx="1">
                  <c:v>926</c:v>
                </c:pt>
                <c:pt idx="2">
                  <c:v>978</c:v>
                </c:pt>
                <c:pt idx="3">
                  <c:v>1039</c:v>
                </c:pt>
                <c:pt idx="4">
                  <c:v>1107</c:v>
                </c:pt>
                <c:pt idx="5">
                  <c:v>1194</c:v>
                </c:pt>
                <c:pt idx="6">
                  <c:v>1473</c:v>
                </c:pt>
              </c:numCache>
            </c:numRef>
          </c:yVal>
          <c:smooth val="0"/>
          <c:extLst>
            <c:ext xmlns:c16="http://schemas.microsoft.com/office/drawing/2014/chart" uri="{C3380CC4-5D6E-409C-BE32-E72D297353CC}">
              <c16:uniqueId val="{00000017-5452-462C-B6B7-1B590420B05E}"/>
            </c:ext>
          </c:extLst>
        </c:ser>
        <c:ser>
          <c:idx val="14"/>
          <c:order val="12"/>
          <c:tx>
            <c:strRef>
              <c:f>'AFMl35 cruise'!$A$195</c:f>
              <c:strCache>
                <c:ptCount val="1"/>
                <c:pt idx="0">
                  <c:v>12000</c:v>
                </c:pt>
              </c:strCache>
            </c:strRef>
          </c:tx>
          <c:spPr>
            <a:ln w="25400" cap="rnd">
              <a:noFill/>
              <a:round/>
            </a:ln>
            <a:effectLst/>
          </c:spPr>
          <c:marker>
            <c:symbol val="none"/>
          </c:marker>
          <c:trendline>
            <c:name>12000</c:name>
            <c:spPr>
              <a:ln w="19050" cap="rnd">
                <a:solidFill>
                  <a:schemeClr val="accent3">
                    <a:lumMod val="80000"/>
                    <a:lumOff val="20000"/>
                  </a:schemeClr>
                </a:solidFill>
                <a:prstDash val="sysDot"/>
              </a:ln>
              <a:effectLst/>
            </c:spPr>
            <c:trendlineType val="poly"/>
            <c:order val="2"/>
            <c:dispRSqr val="0"/>
            <c:dispEq val="0"/>
          </c:trendline>
          <c:xVal>
            <c:numRef>
              <c:f>'AFMl35 cruise'!$B$195:$B$201</c:f>
              <c:numCache>
                <c:formatCode>General</c:formatCode>
                <c:ptCount val="7"/>
                <c:pt idx="0">
                  <c:v>45000</c:v>
                </c:pt>
                <c:pt idx="1">
                  <c:v>43000</c:v>
                </c:pt>
                <c:pt idx="2">
                  <c:v>41000</c:v>
                </c:pt>
                <c:pt idx="3">
                  <c:v>39000</c:v>
                </c:pt>
                <c:pt idx="4">
                  <c:v>37000</c:v>
                </c:pt>
                <c:pt idx="5">
                  <c:v>35000</c:v>
                </c:pt>
                <c:pt idx="6">
                  <c:v>30000</c:v>
                </c:pt>
              </c:numCache>
            </c:numRef>
          </c:xVal>
          <c:yVal>
            <c:numRef>
              <c:f>'AFMl35 cruise'!$J$195:$J$201</c:f>
              <c:numCache>
                <c:formatCode>General</c:formatCode>
                <c:ptCount val="7"/>
                <c:pt idx="0">
                  <c:v>873</c:v>
                </c:pt>
                <c:pt idx="1">
                  <c:v>914</c:v>
                </c:pt>
                <c:pt idx="2">
                  <c:v>968</c:v>
                </c:pt>
                <c:pt idx="3">
                  <c:v>1030</c:v>
                </c:pt>
                <c:pt idx="4">
                  <c:v>1099</c:v>
                </c:pt>
                <c:pt idx="5">
                  <c:v>1186</c:v>
                </c:pt>
                <c:pt idx="6">
                  <c:v>1468</c:v>
                </c:pt>
              </c:numCache>
            </c:numRef>
          </c:yVal>
          <c:smooth val="0"/>
          <c:extLst>
            <c:ext xmlns:c16="http://schemas.microsoft.com/office/drawing/2014/chart" uri="{C3380CC4-5D6E-409C-BE32-E72D297353CC}">
              <c16:uniqueId val="{00000019-5452-462C-B6B7-1B590420B05E}"/>
            </c:ext>
          </c:extLst>
        </c:ser>
        <c:ser>
          <c:idx val="15"/>
          <c:order val="13"/>
          <c:tx>
            <c:strRef>
              <c:f>'AFMl35 cruise'!$A$204</c:f>
              <c:strCache>
                <c:ptCount val="1"/>
                <c:pt idx="0">
                  <c:v>11500</c:v>
                </c:pt>
              </c:strCache>
            </c:strRef>
          </c:tx>
          <c:spPr>
            <a:ln w="25400" cap="rnd">
              <a:noFill/>
              <a:round/>
            </a:ln>
            <a:effectLst/>
          </c:spPr>
          <c:marker>
            <c:symbol val="none"/>
          </c:marker>
          <c:trendline>
            <c:name>11500</c:name>
            <c:spPr>
              <a:ln w="19050" cap="rnd">
                <a:solidFill>
                  <a:schemeClr val="accent4">
                    <a:lumMod val="80000"/>
                    <a:lumOff val="20000"/>
                  </a:schemeClr>
                </a:solidFill>
                <a:prstDash val="sysDot"/>
              </a:ln>
              <a:effectLst/>
            </c:spPr>
            <c:trendlineType val="poly"/>
            <c:order val="2"/>
            <c:dispRSqr val="0"/>
            <c:dispEq val="0"/>
          </c:trendline>
          <c:xVal>
            <c:numRef>
              <c:f>'AFMl35 cruise'!$B$204:$B$210</c:f>
              <c:numCache>
                <c:formatCode>General</c:formatCode>
                <c:ptCount val="7"/>
                <c:pt idx="0">
                  <c:v>45000</c:v>
                </c:pt>
                <c:pt idx="1">
                  <c:v>43000</c:v>
                </c:pt>
                <c:pt idx="2">
                  <c:v>41000</c:v>
                </c:pt>
                <c:pt idx="3">
                  <c:v>39000</c:v>
                </c:pt>
                <c:pt idx="4">
                  <c:v>37000</c:v>
                </c:pt>
                <c:pt idx="5">
                  <c:v>35000</c:v>
                </c:pt>
                <c:pt idx="6">
                  <c:v>30000</c:v>
                </c:pt>
              </c:numCache>
            </c:numRef>
          </c:xVal>
          <c:yVal>
            <c:numRef>
              <c:f>'AFMl35 cruise'!$J$204:$J$210</c:f>
              <c:numCache>
                <c:formatCode>General</c:formatCode>
                <c:ptCount val="7"/>
                <c:pt idx="0">
                  <c:v>858</c:v>
                </c:pt>
                <c:pt idx="1">
                  <c:v>903</c:v>
                </c:pt>
                <c:pt idx="2">
                  <c:v>958</c:v>
                </c:pt>
                <c:pt idx="3">
                  <c:v>1022</c:v>
                </c:pt>
                <c:pt idx="4">
                  <c:v>1090</c:v>
                </c:pt>
                <c:pt idx="5">
                  <c:v>1178</c:v>
                </c:pt>
                <c:pt idx="6">
                  <c:v>1462</c:v>
                </c:pt>
              </c:numCache>
            </c:numRef>
          </c:yVal>
          <c:smooth val="0"/>
          <c:extLst>
            <c:ext xmlns:c16="http://schemas.microsoft.com/office/drawing/2014/chart" uri="{C3380CC4-5D6E-409C-BE32-E72D297353CC}">
              <c16:uniqueId val="{0000001B-5452-462C-B6B7-1B590420B05E}"/>
            </c:ext>
          </c:extLst>
        </c:ser>
        <c:ser>
          <c:idx val="16"/>
          <c:order val="14"/>
          <c:tx>
            <c:strRef>
              <c:f>'AFMl35 cruise'!$A$213</c:f>
              <c:strCache>
                <c:ptCount val="1"/>
                <c:pt idx="0">
                  <c:v>11000</c:v>
                </c:pt>
              </c:strCache>
            </c:strRef>
          </c:tx>
          <c:spPr>
            <a:ln w="25400" cap="rnd">
              <a:noFill/>
              <a:round/>
            </a:ln>
            <a:effectLst/>
          </c:spPr>
          <c:marker>
            <c:symbol val="none"/>
          </c:marker>
          <c:trendline>
            <c:name>11000</c:name>
            <c:spPr>
              <a:ln w="19050" cap="rnd">
                <a:solidFill>
                  <a:schemeClr val="accent5">
                    <a:lumMod val="80000"/>
                    <a:lumOff val="20000"/>
                  </a:schemeClr>
                </a:solidFill>
                <a:prstDash val="sysDot"/>
              </a:ln>
              <a:effectLst/>
            </c:spPr>
            <c:trendlineType val="poly"/>
            <c:order val="2"/>
            <c:dispRSqr val="0"/>
            <c:dispEq val="0"/>
          </c:trendline>
          <c:xVal>
            <c:numRef>
              <c:f>'AFMl35 cruise'!$B$213:$B$219</c:f>
              <c:numCache>
                <c:formatCode>General</c:formatCode>
                <c:ptCount val="7"/>
                <c:pt idx="0">
                  <c:v>45000</c:v>
                </c:pt>
                <c:pt idx="1">
                  <c:v>43000</c:v>
                </c:pt>
                <c:pt idx="2">
                  <c:v>41000</c:v>
                </c:pt>
                <c:pt idx="3">
                  <c:v>39000</c:v>
                </c:pt>
                <c:pt idx="4">
                  <c:v>37000</c:v>
                </c:pt>
                <c:pt idx="5">
                  <c:v>35000</c:v>
                </c:pt>
                <c:pt idx="6">
                  <c:v>30000</c:v>
                </c:pt>
              </c:numCache>
            </c:numRef>
          </c:xVal>
          <c:yVal>
            <c:numRef>
              <c:f>'AFMl35 cruise'!$J$213:$J$219</c:f>
              <c:numCache>
                <c:formatCode>General</c:formatCode>
                <c:ptCount val="7"/>
                <c:pt idx="0">
                  <c:v>844</c:v>
                </c:pt>
                <c:pt idx="1">
                  <c:v>893</c:v>
                </c:pt>
                <c:pt idx="2">
                  <c:v>950</c:v>
                </c:pt>
                <c:pt idx="3">
                  <c:v>1013</c:v>
                </c:pt>
                <c:pt idx="4">
                  <c:v>1082</c:v>
                </c:pt>
                <c:pt idx="5">
                  <c:v>1170</c:v>
                </c:pt>
                <c:pt idx="6">
                  <c:v>1457</c:v>
                </c:pt>
              </c:numCache>
            </c:numRef>
          </c:yVal>
          <c:smooth val="0"/>
          <c:extLst>
            <c:ext xmlns:c16="http://schemas.microsoft.com/office/drawing/2014/chart" uri="{C3380CC4-5D6E-409C-BE32-E72D297353CC}">
              <c16:uniqueId val="{0000001D-5452-462C-B6B7-1B590420B05E}"/>
            </c:ext>
          </c:extLst>
        </c:ser>
        <c:ser>
          <c:idx val="17"/>
          <c:order val="15"/>
          <c:tx>
            <c:strRef>
              <c:f>'AFMl35 cruise'!$A$222</c:f>
              <c:strCache>
                <c:ptCount val="1"/>
                <c:pt idx="0">
                  <c:v>10500</c:v>
                </c:pt>
              </c:strCache>
            </c:strRef>
          </c:tx>
          <c:spPr>
            <a:ln w="25400" cap="rnd">
              <a:noFill/>
              <a:round/>
            </a:ln>
            <a:effectLst/>
          </c:spPr>
          <c:marker>
            <c:symbol val="none"/>
          </c:marker>
          <c:trendline>
            <c:name>10500</c:name>
            <c:spPr>
              <a:ln w="19050" cap="rnd">
                <a:solidFill>
                  <a:schemeClr val="accent6">
                    <a:lumMod val="80000"/>
                    <a:lumOff val="20000"/>
                  </a:schemeClr>
                </a:solidFill>
                <a:prstDash val="sysDot"/>
              </a:ln>
              <a:effectLst/>
            </c:spPr>
            <c:trendlineType val="poly"/>
            <c:order val="2"/>
            <c:dispRSqr val="0"/>
            <c:dispEq val="0"/>
          </c:trendline>
          <c:xVal>
            <c:numRef>
              <c:f>'AFMl35 cruise'!$B$222:$B$228</c:f>
              <c:numCache>
                <c:formatCode>General</c:formatCode>
                <c:ptCount val="7"/>
                <c:pt idx="0">
                  <c:v>45000</c:v>
                </c:pt>
                <c:pt idx="1">
                  <c:v>43000</c:v>
                </c:pt>
                <c:pt idx="2">
                  <c:v>41000</c:v>
                </c:pt>
                <c:pt idx="3">
                  <c:v>39000</c:v>
                </c:pt>
                <c:pt idx="4">
                  <c:v>37000</c:v>
                </c:pt>
                <c:pt idx="5">
                  <c:v>35000</c:v>
                </c:pt>
                <c:pt idx="6">
                  <c:v>30000</c:v>
                </c:pt>
              </c:numCache>
            </c:numRef>
          </c:xVal>
          <c:yVal>
            <c:numRef>
              <c:f>'AFMl35 cruise'!$J$222:$J$228</c:f>
              <c:numCache>
                <c:formatCode>General</c:formatCode>
                <c:ptCount val="7"/>
                <c:pt idx="0">
                  <c:v>832</c:v>
                </c:pt>
                <c:pt idx="1">
                  <c:v>883</c:v>
                </c:pt>
                <c:pt idx="2">
                  <c:v>941</c:v>
                </c:pt>
                <c:pt idx="3">
                  <c:v>1005</c:v>
                </c:pt>
                <c:pt idx="4">
                  <c:v>1074</c:v>
                </c:pt>
                <c:pt idx="5">
                  <c:v>1163</c:v>
                </c:pt>
                <c:pt idx="6">
                  <c:v>1452</c:v>
                </c:pt>
              </c:numCache>
            </c:numRef>
          </c:yVal>
          <c:smooth val="0"/>
          <c:extLst>
            <c:ext xmlns:c16="http://schemas.microsoft.com/office/drawing/2014/chart" uri="{C3380CC4-5D6E-409C-BE32-E72D297353CC}">
              <c16:uniqueId val="{0000001F-5452-462C-B6B7-1B590420B05E}"/>
            </c:ext>
          </c:extLst>
        </c:ser>
        <c:ser>
          <c:idx val="18"/>
          <c:order val="16"/>
          <c:tx>
            <c:strRef>
              <c:f>'AFMl35 cruise'!$A$231</c:f>
              <c:strCache>
                <c:ptCount val="1"/>
                <c:pt idx="0">
                  <c:v>10000</c:v>
                </c:pt>
              </c:strCache>
            </c:strRef>
          </c:tx>
          <c:spPr>
            <a:ln w="25400" cap="rnd">
              <a:noFill/>
              <a:round/>
            </a:ln>
            <a:effectLst/>
          </c:spPr>
          <c:marker>
            <c:symbol val="none"/>
          </c:marker>
          <c:xVal>
            <c:numRef>
              <c:f>'AFMl35 cruise'!$B$231:$B$237</c:f>
              <c:numCache>
                <c:formatCode>General</c:formatCode>
                <c:ptCount val="7"/>
                <c:pt idx="0">
                  <c:v>45000</c:v>
                </c:pt>
                <c:pt idx="1">
                  <c:v>43000</c:v>
                </c:pt>
                <c:pt idx="2">
                  <c:v>41000</c:v>
                </c:pt>
                <c:pt idx="3">
                  <c:v>39000</c:v>
                </c:pt>
                <c:pt idx="4">
                  <c:v>37000</c:v>
                </c:pt>
                <c:pt idx="5">
                  <c:v>35000</c:v>
                </c:pt>
                <c:pt idx="6">
                  <c:v>30000</c:v>
                </c:pt>
              </c:numCache>
            </c:numRef>
          </c:xVal>
          <c:yVal>
            <c:numRef>
              <c:f>'AFMl35 cruise'!$J$231:$J$237</c:f>
              <c:numCache>
                <c:formatCode>General</c:formatCode>
                <c:ptCount val="7"/>
                <c:pt idx="0">
                  <c:v>822</c:v>
                </c:pt>
                <c:pt idx="1">
                  <c:v>874</c:v>
                </c:pt>
                <c:pt idx="2">
                  <c:v>933</c:v>
                </c:pt>
                <c:pt idx="3">
                  <c:v>997</c:v>
                </c:pt>
                <c:pt idx="4">
                  <c:v>1067</c:v>
                </c:pt>
                <c:pt idx="5">
                  <c:v>1157</c:v>
                </c:pt>
                <c:pt idx="6">
                  <c:v>1447</c:v>
                </c:pt>
              </c:numCache>
            </c:numRef>
          </c:yVal>
          <c:smooth val="0"/>
          <c:extLst>
            <c:ext xmlns:c16="http://schemas.microsoft.com/office/drawing/2014/chart" uri="{C3380CC4-5D6E-409C-BE32-E72D297353CC}">
              <c16:uniqueId val="{00000020-5452-462C-B6B7-1B590420B05E}"/>
            </c:ext>
          </c:extLst>
        </c:ser>
        <c:dLbls>
          <c:showLegendKey val="0"/>
          <c:showVal val="0"/>
          <c:showCatName val="0"/>
          <c:showSerName val="0"/>
          <c:showPercent val="0"/>
          <c:showBubbleSize val="0"/>
        </c:dLbls>
        <c:axId val="1005056032"/>
        <c:axId val="1005063104"/>
      </c:scatterChart>
      <c:valAx>
        <c:axId val="1005056032"/>
        <c:scaling>
          <c:orientation val="minMax"/>
          <c:min val="20000"/>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063104"/>
        <c:crosses val="autoZero"/>
        <c:crossBetween val="midCat"/>
      </c:valAx>
      <c:valAx>
        <c:axId val="1005063104"/>
        <c:scaling>
          <c:orientation val="minMax"/>
          <c:max val="2200"/>
          <c:min val="8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056032"/>
        <c:crosses val="autoZero"/>
        <c:crossBetween val="midCat"/>
      </c:valAx>
      <c:spPr>
        <a:noFill/>
        <a:ln>
          <a:noFill/>
        </a:ln>
        <a:effectLst/>
      </c:spPr>
    </c:plotArea>
    <c:legend>
      <c:legendPos val="r"/>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ayout>
        <c:manualLayout>
          <c:xMode val="edge"/>
          <c:yMode val="edge"/>
          <c:x val="0.83959107611548556"/>
          <c:y val="0.13849112462837879"/>
          <c:w val="0.12560879265091862"/>
          <c:h val="0.604269632172755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Legacy</a:t>
            </a:r>
            <a:r>
              <a:rPr lang="en-AU" baseline="0"/>
              <a:t> Climb Data</a:t>
            </a:r>
            <a:endParaRPr lang="en-AU"/>
          </a:p>
        </c:rich>
      </c:tx>
      <c:layout>
        <c:manualLayout>
          <c:xMode val="edge"/>
          <c:yMode val="edge"/>
          <c:x val="0.72156626506024102"/>
          <c:y val="3.28349427318339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4585955517275385E-2"/>
          <c:y val="3.6169333583265066E-2"/>
          <c:w val="0.53040985427206955"/>
          <c:h val="0.78763714544309904"/>
        </c:manualLayout>
      </c:layout>
      <c:scatterChart>
        <c:scatterStyle val="lineMarker"/>
        <c:varyColors val="0"/>
        <c:ser>
          <c:idx val="0"/>
          <c:order val="0"/>
          <c:tx>
            <c:v>L31 1 Climb TAS</c:v>
          </c:tx>
          <c:spPr>
            <a:ln w="25400" cap="rnd">
              <a:noFill/>
              <a:round/>
            </a:ln>
            <a:effectLst/>
          </c:spPr>
          <c:marker>
            <c:symbol val="circle"/>
            <c:size val="5"/>
            <c:spPr>
              <a:solidFill>
                <a:schemeClr val="accent1"/>
              </a:solidFill>
              <a:ln w="9525">
                <a:solidFill>
                  <a:schemeClr val="accent1"/>
                </a:solidFill>
              </a:ln>
              <a:effectLst/>
            </c:spPr>
          </c:marker>
          <c:xVal>
            <c:numRef>
              <c:f>'Legacy Data'!$A$3:$A$12</c:f>
              <c:numCache>
                <c:formatCode>General</c:formatCode>
                <c:ptCount val="10"/>
                <c:pt idx="0">
                  <c:v>43000</c:v>
                </c:pt>
                <c:pt idx="1">
                  <c:v>10000</c:v>
                </c:pt>
                <c:pt idx="2">
                  <c:v>15000</c:v>
                </c:pt>
                <c:pt idx="3">
                  <c:v>35000</c:v>
                </c:pt>
                <c:pt idx="4">
                  <c:v>5000</c:v>
                </c:pt>
                <c:pt idx="5">
                  <c:v>39000</c:v>
                </c:pt>
                <c:pt idx="6">
                  <c:v>25000</c:v>
                </c:pt>
                <c:pt idx="7">
                  <c:v>41000</c:v>
                </c:pt>
                <c:pt idx="8">
                  <c:v>30000</c:v>
                </c:pt>
                <c:pt idx="9">
                  <c:v>20000</c:v>
                </c:pt>
              </c:numCache>
            </c:numRef>
          </c:xVal>
          <c:yVal>
            <c:numRef>
              <c:f>'Legacy Data'!$B$3:$B$12</c:f>
              <c:numCache>
                <c:formatCode>General</c:formatCode>
                <c:ptCount val="10"/>
                <c:pt idx="0">
                  <c:v>402</c:v>
                </c:pt>
                <c:pt idx="1">
                  <c:v>296</c:v>
                </c:pt>
                <c:pt idx="2">
                  <c:v>321</c:v>
                </c:pt>
                <c:pt idx="3">
                  <c:v>403</c:v>
                </c:pt>
                <c:pt idx="4">
                  <c:v>274</c:v>
                </c:pt>
                <c:pt idx="5">
                  <c:v>402</c:v>
                </c:pt>
                <c:pt idx="6">
                  <c:v>381</c:v>
                </c:pt>
                <c:pt idx="7">
                  <c:v>402</c:v>
                </c:pt>
                <c:pt idx="8">
                  <c:v>418</c:v>
                </c:pt>
                <c:pt idx="9">
                  <c:v>349</c:v>
                </c:pt>
              </c:numCache>
            </c:numRef>
          </c:yVal>
          <c:smooth val="0"/>
          <c:extLst>
            <c:ext xmlns:c16="http://schemas.microsoft.com/office/drawing/2014/chart" uri="{C3380CC4-5D6E-409C-BE32-E72D297353CC}">
              <c16:uniqueId val="{00000001-8C68-4604-9EB8-AA23DA89E770}"/>
            </c:ext>
          </c:extLst>
        </c:ser>
        <c:ser>
          <c:idx val="2"/>
          <c:order val="1"/>
          <c:tx>
            <c:v>L31 2 Climb TAS</c:v>
          </c:tx>
          <c:spPr>
            <a:ln w="25400" cap="rnd">
              <a:noFill/>
              <a:round/>
            </a:ln>
            <a:effectLst/>
          </c:spPr>
          <c:marker>
            <c:symbol val="circle"/>
            <c:size val="5"/>
            <c:spPr>
              <a:solidFill>
                <a:schemeClr val="accent3"/>
              </a:solidFill>
              <a:ln w="9525">
                <a:solidFill>
                  <a:schemeClr val="accent3"/>
                </a:solidFill>
              </a:ln>
              <a:effectLst/>
            </c:spPr>
          </c:marker>
          <c:xVal>
            <c:numRef>
              <c:f>'Legacy Data'!$O$3:$O$12</c:f>
              <c:numCache>
                <c:formatCode>General</c:formatCode>
                <c:ptCount val="10"/>
                <c:pt idx="0">
                  <c:v>10000</c:v>
                </c:pt>
                <c:pt idx="1">
                  <c:v>20000</c:v>
                </c:pt>
                <c:pt idx="2">
                  <c:v>30000</c:v>
                </c:pt>
                <c:pt idx="3">
                  <c:v>47000</c:v>
                </c:pt>
                <c:pt idx="4">
                  <c:v>35000</c:v>
                </c:pt>
                <c:pt idx="5">
                  <c:v>15000</c:v>
                </c:pt>
                <c:pt idx="6">
                  <c:v>1000</c:v>
                </c:pt>
                <c:pt idx="7">
                  <c:v>25000</c:v>
                </c:pt>
                <c:pt idx="8">
                  <c:v>40000</c:v>
                </c:pt>
                <c:pt idx="9">
                  <c:v>5000</c:v>
                </c:pt>
              </c:numCache>
            </c:numRef>
          </c:xVal>
          <c:yVal>
            <c:numRef>
              <c:f>'Legacy Data'!$P$3:$P$12</c:f>
              <c:numCache>
                <c:formatCode>General</c:formatCode>
                <c:ptCount val="10"/>
                <c:pt idx="0">
                  <c:v>250</c:v>
                </c:pt>
                <c:pt idx="1">
                  <c:v>250</c:v>
                </c:pt>
                <c:pt idx="2">
                  <c:v>250</c:v>
                </c:pt>
                <c:pt idx="3">
                  <c:v>290</c:v>
                </c:pt>
                <c:pt idx="4">
                  <c:v>260</c:v>
                </c:pt>
                <c:pt idx="5">
                  <c:v>250</c:v>
                </c:pt>
                <c:pt idx="6">
                  <c:v>250</c:v>
                </c:pt>
                <c:pt idx="7">
                  <c:v>250</c:v>
                </c:pt>
                <c:pt idx="8">
                  <c:v>270</c:v>
                </c:pt>
                <c:pt idx="9">
                  <c:v>250</c:v>
                </c:pt>
              </c:numCache>
            </c:numRef>
          </c:yVal>
          <c:smooth val="0"/>
          <c:extLst>
            <c:ext xmlns:c16="http://schemas.microsoft.com/office/drawing/2014/chart" uri="{C3380CC4-5D6E-409C-BE32-E72D297353CC}">
              <c16:uniqueId val="{00000003-8C68-4604-9EB8-AA23DA89E770}"/>
            </c:ext>
          </c:extLst>
        </c:ser>
        <c:ser>
          <c:idx val="3"/>
          <c:order val="2"/>
          <c:tx>
            <c:v>L35 Pod Climb TAS</c:v>
          </c:tx>
          <c:spPr>
            <a:ln w="25400" cap="rnd">
              <a:noFill/>
              <a:round/>
            </a:ln>
            <a:effectLst/>
          </c:spPr>
          <c:marker>
            <c:symbol val="circle"/>
            <c:size val="5"/>
            <c:spPr>
              <a:solidFill>
                <a:schemeClr val="accent4"/>
              </a:solidFill>
              <a:ln w="9525">
                <a:solidFill>
                  <a:schemeClr val="accent4"/>
                </a:solidFill>
              </a:ln>
              <a:effectLst/>
            </c:spPr>
          </c:marker>
          <c:xVal>
            <c:numRef>
              <c:f>'Legacy Data'!$V$3:$V$6</c:f>
              <c:numCache>
                <c:formatCode>General</c:formatCode>
                <c:ptCount val="4"/>
                <c:pt idx="0">
                  <c:v>10000</c:v>
                </c:pt>
                <c:pt idx="1">
                  <c:v>20000</c:v>
                </c:pt>
                <c:pt idx="2">
                  <c:v>30000</c:v>
                </c:pt>
                <c:pt idx="3">
                  <c:v>35000</c:v>
                </c:pt>
              </c:numCache>
            </c:numRef>
          </c:xVal>
          <c:yVal>
            <c:numRef>
              <c:f>'Legacy Data'!$W$3:$W$6</c:f>
              <c:numCache>
                <c:formatCode>General</c:formatCode>
                <c:ptCount val="4"/>
                <c:pt idx="0">
                  <c:v>260</c:v>
                </c:pt>
                <c:pt idx="1">
                  <c:v>310</c:v>
                </c:pt>
                <c:pt idx="2">
                  <c:v>380</c:v>
                </c:pt>
                <c:pt idx="3">
                  <c:v>390</c:v>
                </c:pt>
              </c:numCache>
            </c:numRef>
          </c:yVal>
          <c:smooth val="0"/>
          <c:extLst>
            <c:ext xmlns:c16="http://schemas.microsoft.com/office/drawing/2014/chart" uri="{C3380CC4-5D6E-409C-BE32-E72D297353CC}">
              <c16:uniqueId val="{00000005-8C68-4604-9EB8-AA23DA89E770}"/>
            </c:ext>
          </c:extLst>
        </c:ser>
        <c:dLbls>
          <c:showLegendKey val="0"/>
          <c:showVal val="0"/>
          <c:showCatName val="0"/>
          <c:showSerName val="0"/>
          <c:showPercent val="0"/>
          <c:showBubbleSize val="0"/>
        </c:dLbls>
        <c:axId val="429601392"/>
        <c:axId val="429572656"/>
      </c:scatterChart>
      <c:scatterChart>
        <c:scatterStyle val="lineMarker"/>
        <c:varyColors val="0"/>
        <c:ser>
          <c:idx val="1"/>
          <c:order val="3"/>
          <c:tx>
            <c:v>L31 Cruise Burn</c:v>
          </c:tx>
          <c:spPr>
            <a:ln w="25400" cap="rnd">
              <a:noFill/>
              <a:round/>
            </a:ln>
            <a:effectLst/>
          </c:spPr>
          <c:marker>
            <c:symbol val="circle"/>
            <c:size val="5"/>
            <c:spPr>
              <a:solidFill>
                <a:schemeClr val="accent2"/>
              </a:solidFill>
              <a:ln w="9525">
                <a:solidFill>
                  <a:schemeClr val="accent2"/>
                </a:solidFill>
              </a:ln>
              <a:effectLst/>
            </c:spPr>
          </c:marker>
          <c:xVal>
            <c:numRef>
              <c:f>'Legacy Data'!$A$3:$A$12</c:f>
              <c:numCache>
                <c:formatCode>General</c:formatCode>
                <c:ptCount val="10"/>
                <c:pt idx="0">
                  <c:v>43000</c:v>
                </c:pt>
                <c:pt idx="1">
                  <c:v>10000</c:v>
                </c:pt>
                <c:pt idx="2">
                  <c:v>15000</c:v>
                </c:pt>
                <c:pt idx="3">
                  <c:v>35000</c:v>
                </c:pt>
                <c:pt idx="4">
                  <c:v>5000</c:v>
                </c:pt>
                <c:pt idx="5">
                  <c:v>39000</c:v>
                </c:pt>
                <c:pt idx="6">
                  <c:v>25000</c:v>
                </c:pt>
                <c:pt idx="7">
                  <c:v>41000</c:v>
                </c:pt>
                <c:pt idx="8">
                  <c:v>30000</c:v>
                </c:pt>
                <c:pt idx="9">
                  <c:v>20000</c:v>
                </c:pt>
              </c:numCache>
            </c:numRef>
          </c:xVal>
          <c:yVal>
            <c:numRef>
              <c:f>'Legacy Data'!$D$3:$D$12</c:f>
              <c:numCache>
                <c:formatCode>General</c:formatCode>
                <c:ptCount val="10"/>
                <c:pt idx="0">
                  <c:v>1292</c:v>
                </c:pt>
                <c:pt idx="1">
                  <c:v>3000</c:v>
                </c:pt>
                <c:pt idx="2">
                  <c:v>2500</c:v>
                </c:pt>
                <c:pt idx="3">
                  <c:v>1399</c:v>
                </c:pt>
                <c:pt idx="4">
                  <c:v>3000</c:v>
                </c:pt>
                <c:pt idx="5">
                  <c:v>1325</c:v>
                </c:pt>
                <c:pt idx="6">
                  <c:v>1950</c:v>
                </c:pt>
                <c:pt idx="7">
                  <c:v>1327</c:v>
                </c:pt>
                <c:pt idx="8">
                  <c:v>1625</c:v>
                </c:pt>
                <c:pt idx="9">
                  <c:v>2000</c:v>
                </c:pt>
              </c:numCache>
            </c:numRef>
          </c:yVal>
          <c:smooth val="0"/>
          <c:extLst>
            <c:ext xmlns:c16="http://schemas.microsoft.com/office/drawing/2014/chart" uri="{C3380CC4-5D6E-409C-BE32-E72D297353CC}">
              <c16:uniqueId val="{00000004-ACD0-4A02-86BA-FE7497834056}"/>
            </c:ext>
          </c:extLst>
        </c:ser>
        <c:ser>
          <c:idx val="4"/>
          <c:order val="4"/>
          <c:tx>
            <c:v>L31 2 Climb Burn</c:v>
          </c:tx>
          <c:spPr>
            <a:ln w="25400" cap="rnd">
              <a:noFill/>
              <a:round/>
            </a:ln>
            <a:effectLst/>
          </c:spPr>
          <c:marker>
            <c:symbol val="circle"/>
            <c:size val="5"/>
            <c:spPr>
              <a:solidFill>
                <a:schemeClr val="accent5"/>
              </a:solidFill>
              <a:ln w="9525">
                <a:solidFill>
                  <a:schemeClr val="accent5"/>
                </a:solidFill>
              </a:ln>
              <a:effectLst/>
            </c:spPr>
          </c:marker>
          <c:xVal>
            <c:numRef>
              <c:f>'Legacy Data'!$O$3:$O$12</c:f>
              <c:numCache>
                <c:formatCode>General</c:formatCode>
                <c:ptCount val="10"/>
                <c:pt idx="0">
                  <c:v>10000</c:v>
                </c:pt>
                <c:pt idx="1">
                  <c:v>20000</c:v>
                </c:pt>
                <c:pt idx="2">
                  <c:v>30000</c:v>
                </c:pt>
                <c:pt idx="3">
                  <c:v>47000</c:v>
                </c:pt>
                <c:pt idx="4">
                  <c:v>35000</c:v>
                </c:pt>
                <c:pt idx="5">
                  <c:v>15000</c:v>
                </c:pt>
                <c:pt idx="6">
                  <c:v>1000</c:v>
                </c:pt>
                <c:pt idx="7">
                  <c:v>25000</c:v>
                </c:pt>
                <c:pt idx="8">
                  <c:v>40000</c:v>
                </c:pt>
                <c:pt idx="9">
                  <c:v>5000</c:v>
                </c:pt>
              </c:numCache>
            </c:numRef>
          </c:xVal>
          <c:yVal>
            <c:numRef>
              <c:f>'Legacy Data'!$P$3:$P$12</c:f>
              <c:numCache>
                <c:formatCode>General</c:formatCode>
                <c:ptCount val="10"/>
                <c:pt idx="0">
                  <c:v>250</c:v>
                </c:pt>
                <c:pt idx="1">
                  <c:v>250</c:v>
                </c:pt>
                <c:pt idx="2">
                  <c:v>250</c:v>
                </c:pt>
                <c:pt idx="3">
                  <c:v>290</c:v>
                </c:pt>
                <c:pt idx="4">
                  <c:v>260</c:v>
                </c:pt>
                <c:pt idx="5">
                  <c:v>250</c:v>
                </c:pt>
                <c:pt idx="6">
                  <c:v>250</c:v>
                </c:pt>
                <c:pt idx="7">
                  <c:v>250</c:v>
                </c:pt>
                <c:pt idx="8">
                  <c:v>270</c:v>
                </c:pt>
                <c:pt idx="9">
                  <c:v>250</c:v>
                </c:pt>
              </c:numCache>
            </c:numRef>
          </c:yVal>
          <c:smooth val="0"/>
          <c:extLst>
            <c:ext xmlns:c16="http://schemas.microsoft.com/office/drawing/2014/chart" uri="{C3380CC4-5D6E-409C-BE32-E72D297353CC}">
              <c16:uniqueId val="{00000005-ACD0-4A02-86BA-FE7497834056}"/>
            </c:ext>
          </c:extLst>
        </c:ser>
        <c:ser>
          <c:idx val="5"/>
          <c:order val="5"/>
          <c:tx>
            <c:v>L35 Pod Climb TAS</c:v>
          </c:tx>
          <c:spPr>
            <a:ln w="25400" cap="rnd">
              <a:noFill/>
              <a:round/>
            </a:ln>
            <a:effectLst/>
          </c:spPr>
          <c:marker>
            <c:symbol val="circle"/>
            <c:size val="5"/>
            <c:spPr>
              <a:solidFill>
                <a:schemeClr val="accent6"/>
              </a:solidFill>
              <a:ln w="9525">
                <a:solidFill>
                  <a:schemeClr val="accent6"/>
                </a:solidFill>
              </a:ln>
              <a:effectLst/>
            </c:spPr>
          </c:marker>
          <c:xVal>
            <c:numRef>
              <c:f>'Legacy Data'!$V$3:$V$6</c:f>
              <c:numCache>
                <c:formatCode>General</c:formatCode>
                <c:ptCount val="4"/>
                <c:pt idx="0">
                  <c:v>10000</c:v>
                </c:pt>
                <c:pt idx="1">
                  <c:v>20000</c:v>
                </c:pt>
                <c:pt idx="2">
                  <c:v>30000</c:v>
                </c:pt>
                <c:pt idx="3">
                  <c:v>35000</c:v>
                </c:pt>
              </c:numCache>
            </c:numRef>
          </c:xVal>
          <c:yVal>
            <c:numRef>
              <c:f>'Legacy Data'!$W$3:$W$6</c:f>
              <c:numCache>
                <c:formatCode>General</c:formatCode>
                <c:ptCount val="4"/>
                <c:pt idx="0">
                  <c:v>260</c:v>
                </c:pt>
                <c:pt idx="1">
                  <c:v>310</c:v>
                </c:pt>
                <c:pt idx="2">
                  <c:v>380</c:v>
                </c:pt>
                <c:pt idx="3">
                  <c:v>390</c:v>
                </c:pt>
              </c:numCache>
            </c:numRef>
          </c:yVal>
          <c:smooth val="0"/>
          <c:extLst>
            <c:ext xmlns:c16="http://schemas.microsoft.com/office/drawing/2014/chart" uri="{C3380CC4-5D6E-409C-BE32-E72D297353CC}">
              <c16:uniqueId val="{00000006-ACD0-4A02-86BA-FE7497834056}"/>
            </c:ext>
          </c:extLst>
        </c:ser>
        <c:dLbls>
          <c:showLegendKey val="0"/>
          <c:showVal val="0"/>
          <c:showCatName val="0"/>
          <c:showSerName val="0"/>
          <c:showPercent val="0"/>
          <c:showBubbleSize val="0"/>
        </c:dLbls>
        <c:axId val="1753980560"/>
        <c:axId val="1753953520"/>
      </c:scatterChart>
      <c:valAx>
        <c:axId val="4296013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Altitude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572656"/>
        <c:crosses val="autoZero"/>
        <c:crossBetween val="midCat"/>
      </c:valAx>
      <c:valAx>
        <c:axId val="429572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Climb</a:t>
                </a:r>
                <a:r>
                  <a:rPr lang="en-AU" baseline="0"/>
                  <a:t> TAS</a:t>
                </a:r>
                <a:endParaRPr lang="en-A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601392"/>
        <c:crosses val="autoZero"/>
        <c:crossBetween val="midCat"/>
      </c:valAx>
      <c:valAx>
        <c:axId val="1753953520"/>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AU"/>
                  <a:t>Climb fuelo</a:t>
                </a:r>
                <a:r>
                  <a:rPr lang="en-AU" baseline="0"/>
                  <a:t> flow</a:t>
                </a:r>
                <a:endParaRPr lang="en-A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980560"/>
        <c:crosses val="max"/>
        <c:crossBetween val="midCat"/>
      </c:valAx>
      <c:valAx>
        <c:axId val="1753980560"/>
        <c:scaling>
          <c:orientation val="minMax"/>
        </c:scaling>
        <c:delete val="1"/>
        <c:axPos val="b"/>
        <c:numFmt formatCode="General" sourceLinked="1"/>
        <c:majorTickMark val="out"/>
        <c:minorTickMark val="none"/>
        <c:tickLblPos val="nextTo"/>
        <c:crossAx val="1753953520"/>
        <c:crosses val="autoZero"/>
        <c:crossBetween val="midCat"/>
      </c:valAx>
      <c:spPr>
        <a:noFill/>
        <a:ln>
          <a:noFill/>
        </a:ln>
        <a:effectLst/>
      </c:spPr>
    </c:plotArea>
    <c:legend>
      <c:legendPos val="b"/>
      <c:layout>
        <c:manualLayout>
          <c:xMode val="edge"/>
          <c:yMode val="edge"/>
          <c:x val="0.74963249454325664"/>
          <c:y val="8.3023248829480603E-2"/>
          <c:w val="0.24321831234248117"/>
          <c:h val="0.482944748171338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'Legacy Data'!$A$1</c:f>
              <c:strCache>
                <c:ptCount val="1"/>
                <c:pt idx="0">
                  <c:v>LR31</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0"/>
          </c:trendline>
          <c:xVal>
            <c:numRef>
              <c:f>'Legacy Data'!$A$3:$A$12</c:f>
              <c:numCache>
                <c:formatCode>General</c:formatCode>
                <c:ptCount val="10"/>
                <c:pt idx="0">
                  <c:v>43000</c:v>
                </c:pt>
                <c:pt idx="1">
                  <c:v>10000</c:v>
                </c:pt>
                <c:pt idx="2">
                  <c:v>15000</c:v>
                </c:pt>
                <c:pt idx="3">
                  <c:v>35000</c:v>
                </c:pt>
                <c:pt idx="4">
                  <c:v>5000</c:v>
                </c:pt>
                <c:pt idx="5">
                  <c:v>39000</c:v>
                </c:pt>
                <c:pt idx="6">
                  <c:v>25000</c:v>
                </c:pt>
                <c:pt idx="7">
                  <c:v>41000</c:v>
                </c:pt>
                <c:pt idx="8">
                  <c:v>30000</c:v>
                </c:pt>
                <c:pt idx="9">
                  <c:v>20000</c:v>
                </c:pt>
              </c:numCache>
            </c:numRef>
          </c:xVal>
          <c:yVal>
            <c:numRef>
              <c:f>'Legacy Data'!$C$3:$C$12</c:f>
              <c:numCache>
                <c:formatCode>General</c:formatCode>
                <c:ptCount val="10"/>
                <c:pt idx="0">
                  <c:v>435</c:v>
                </c:pt>
                <c:pt idx="1">
                  <c:v>350</c:v>
                </c:pt>
                <c:pt idx="2">
                  <c:v>400</c:v>
                </c:pt>
                <c:pt idx="3">
                  <c:v>437</c:v>
                </c:pt>
                <c:pt idx="4">
                  <c:v>250</c:v>
                </c:pt>
                <c:pt idx="5">
                  <c:v>435</c:v>
                </c:pt>
                <c:pt idx="6">
                  <c:v>450</c:v>
                </c:pt>
                <c:pt idx="7">
                  <c:v>435</c:v>
                </c:pt>
                <c:pt idx="8">
                  <c:v>447</c:v>
                </c:pt>
                <c:pt idx="9">
                  <c:v>430</c:v>
                </c:pt>
              </c:numCache>
            </c:numRef>
          </c:yVal>
          <c:smooth val="0"/>
          <c:extLst>
            <c:ext xmlns:c16="http://schemas.microsoft.com/office/drawing/2014/chart" uri="{C3380CC4-5D6E-409C-BE32-E72D297353CC}">
              <c16:uniqueId val="{00000001-1DF7-42DA-A30D-4464217224AE}"/>
            </c:ext>
          </c:extLst>
        </c:ser>
        <c:ser>
          <c:idx val="2"/>
          <c:order val="1"/>
          <c:tx>
            <c:strRef>
              <c:f>'Legacy Data'!$O$1</c:f>
              <c:strCache>
                <c:ptCount val="1"/>
                <c:pt idx="0">
                  <c:v>LR31 2</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0"/>
          </c:trendline>
          <c:xVal>
            <c:numRef>
              <c:f>'Legacy Data'!$O$3:$O$12</c:f>
              <c:numCache>
                <c:formatCode>General</c:formatCode>
                <c:ptCount val="10"/>
                <c:pt idx="0">
                  <c:v>10000</c:v>
                </c:pt>
                <c:pt idx="1">
                  <c:v>20000</c:v>
                </c:pt>
                <c:pt idx="2">
                  <c:v>30000</c:v>
                </c:pt>
                <c:pt idx="3">
                  <c:v>47000</c:v>
                </c:pt>
                <c:pt idx="4">
                  <c:v>35000</c:v>
                </c:pt>
                <c:pt idx="5">
                  <c:v>15000</c:v>
                </c:pt>
                <c:pt idx="6">
                  <c:v>1000</c:v>
                </c:pt>
                <c:pt idx="7">
                  <c:v>25000</c:v>
                </c:pt>
                <c:pt idx="8">
                  <c:v>40000</c:v>
                </c:pt>
                <c:pt idx="9">
                  <c:v>5000</c:v>
                </c:pt>
              </c:numCache>
            </c:numRef>
          </c:xVal>
          <c:yVal>
            <c:numRef>
              <c:f>'Legacy Data'!$Q$3:$Q$12</c:f>
              <c:numCache>
                <c:formatCode>General</c:formatCode>
                <c:ptCount val="10"/>
                <c:pt idx="0">
                  <c:v>269</c:v>
                </c:pt>
                <c:pt idx="1">
                  <c:v>318</c:v>
                </c:pt>
                <c:pt idx="2">
                  <c:v>365</c:v>
                </c:pt>
                <c:pt idx="3">
                  <c:v>433</c:v>
                </c:pt>
                <c:pt idx="4">
                  <c:v>435</c:v>
                </c:pt>
                <c:pt idx="5">
                  <c:v>300</c:v>
                </c:pt>
                <c:pt idx="6">
                  <c:v>232</c:v>
                </c:pt>
                <c:pt idx="7">
                  <c:v>349</c:v>
                </c:pt>
                <c:pt idx="8">
                  <c:v>433</c:v>
                </c:pt>
                <c:pt idx="9">
                  <c:v>254</c:v>
                </c:pt>
              </c:numCache>
            </c:numRef>
          </c:yVal>
          <c:smooth val="0"/>
          <c:extLst>
            <c:ext xmlns:c16="http://schemas.microsoft.com/office/drawing/2014/chart" uri="{C3380CC4-5D6E-409C-BE32-E72D297353CC}">
              <c16:uniqueId val="{00000003-1DF7-42DA-A30D-4464217224AE}"/>
            </c:ext>
          </c:extLst>
        </c:ser>
        <c:ser>
          <c:idx val="3"/>
          <c:order val="2"/>
          <c:tx>
            <c:strRef>
              <c:f>'Legacy Data'!$V$1</c:f>
              <c:strCache>
                <c:ptCount val="1"/>
                <c:pt idx="0">
                  <c:v>LR35 Pod</c:v>
                </c:pt>
              </c:strCache>
            </c:strRef>
          </c:tx>
          <c:spPr>
            <a:ln w="2540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0"/>
          </c:trendline>
          <c:xVal>
            <c:numRef>
              <c:f>'Legacy Data'!$V$3:$V$6</c:f>
              <c:numCache>
                <c:formatCode>General</c:formatCode>
                <c:ptCount val="4"/>
                <c:pt idx="0">
                  <c:v>10000</c:v>
                </c:pt>
                <c:pt idx="1">
                  <c:v>20000</c:v>
                </c:pt>
                <c:pt idx="2">
                  <c:v>30000</c:v>
                </c:pt>
                <c:pt idx="3">
                  <c:v>35000</c:v>
                </c:pt>
              </c:numCache>
            </c:numRef>
          </c:xVal>
          <c:yVal>
            <c:numRef>
              <c:f>'Legacy Data'!$X$3:$X$6</c:f>
              <c:numCache>
                <c:formatCode>General</c:formatCode>
                <c:ptCount val="4"/>
                <c:pt idx="0">
                  <c:v>260</c:v>
                </c:pt>
                <c:pt idx="1">
                  <c:v>300</c:v>
                </c:pt>
                <c:pt idx="2">
                  <c:v>360</c:v>
                </c:pt>
                <c:pt idx="3">
                  <c:v>380</c:v>
                </c:pt>
              </c:numCache>
            </c:numRef>
          </c:yVal>
          <c:smooth val="0"/>
          <c:extLst>
            <c:ext xmlns:c16="http://schemas.microsoft.com/office/drawing/2014/chart" uri="{C3380CC4-5D6E-409C-BE32-E72D297353CC}">
              <c16:uniqueId val="{00000005-1DF7-42DA-A30D-4464217224AE}"/>
            </c:ext>
          </c:extLst>
        </c:ser>
        <c:dLbls>
          <c:showLegendKey val="0"/>
          <c:showVal val="0"/>
          <c:showCatName val="0"/>
          <c:showSerName val="0"/>
          <c:showPercent val="0"/>
          <c:showBubbleSize val="0"/>
        </c:dLbls>
        <c:axId val="429601392"/>
        <c:axId val="429572656"/>
      </c:scatterChart>
      <c:valAx>
        <c:axId val="429601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572656"/>
        <c:crosses val="autoZero"/>
        <c:crossBetween val="midCat"/>
      </c:valAx>
      <c:valAx>
        <c:axId val="429572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60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Climb TAS @ </a:t>
            </a:r>
            <a:r>
              <a:rPr lang="en-AU" baseline="0"/>
              <a:t>ISA + 10</a:t>
            </a:r>
            <a:endParaRPr lang="en-AU"/>
          </a:p>
        </c:rich>
      </c:tx>
      <c:layout>
        <c:manualLayout>
          <c:xMode val="edge"/>
          <c:yMode val="edge"/>
          <c:x val="0.33320406824146981"/>
          <c:y val="5.687203791469194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348188976377953E-2"/>
          <c:y val="2.7382833070036861E-2"/>
          <c:w val="0.73710918635170608"/>
          <c:h val="0.92796573414105232"/>
        </c:manualLayout>
      </c:layout>
      <c:scatterChart>
        <c:scatterStyle val="lineMarker"/>
        <c:varyColors val="0"/>
        <c:ser>
          <c:idx val="0"/>
          <c:order val="0"/>
          <c:tx>
            <c:strRef>
              <c:f>'AFM Climb'!$C$1</c:f>
              <c:strCache>
                <c:ptCount val="1"/>
                <c:pt idx="0">
                  <c:v>17000lbs</c:v>
                </c:pt>
              </c:strCache>
            </c:strRef>
          </c:tx>
          <c:spPr>
            <a:ln w="25400" cap="rnd">
              <a:noFill/>
              <a:round/>
            </a:ln>
            <a:effectLst/>
          </c:spPr>
          <c:marker>
            <c:symbol val="none"/>
          </c:marker>
          <c:trendline>
            <c:spPr>
              <a:ln w="19050" cap="rnd">
                <a:solidFill>
                  <a:schemeClr val="accent1"/>
                </a:solidFill>
                <a:prstDash val="solid"/>
              </a:ln>
              <a:effectLst/>
            </c:spPr>
            <c:trendlineType val="movingAvg"/>
            <c:period val="2"/>
            <c:dispRSqr val="0"/>
            <c:dispEq val="0"/>
          </c:trendline>
          <c:xVal>
            <c:numRef>
              <c:f>'AFM Climb'!$A$3:$A$25</c:f>
              <c:numCache>
                <c:formatCode>0.0</c:formatCode>
                <c:ptCount val="23"/>
                <c:pt idx="0">
                  <c:v>45000</c:v>
                </c:pt>
                <c:pt idx="1">
                  <c:v>43000</c:v>
                </c:pt>
                <c:pt idx="2">
                  <c:v>41000</c:v>
                </c:pt>
                <c:pt idx="3">
                  <c:v>39000</c:v>
                </c:pt>
                <c:pt idx="4">
                  <c:v>37000</c:v>
                </c:pt>
                <c:pt idx="5">
                  <c:v>35000</c:v>
                </c:pt>
                <c:pt idx="6">
                  <c:v>33000</c:v>
                </c:pt>
                <c:pt idx="7">
                  <c:v>31000</c:v>
                </c:pt>
                <c:pt idx="8">
                  <c:v>29000</c:v>
                </c:pt>
                <c:pt idx="9">
                  <c:v>27000</c:v>
                </c:pt>
                <c:pt idx="10">
                  <c:v>25000</c:v>
                </c:pt>
                <c:pt idx="11">
                  <c:v>23000</c:v>
                </c:pt>
                <c:pt idx="12">
                  <c:v>21000</c:v>
                </c:pt>
                <c:pt idx="13">
                  <c:v>19000</c:v>
                </c:pt>
                <c:pt idx="14">
                  <c:v>17000</c:v>
                </c:pt>
                <c:pt idx="15">
                  <c:v>15000</c:v>
                </c:pt>
                <c:pt idx="16">
                  <c:v>13000</c:v>
                </c:pt>
                <c:pt idx="17">
                  <c:v>11000</c:v>
                </c:pt>
                <c:pt idx="18">
                  <c:v>9000</c:v>
                </c:pt>
                <c:pt idx="19">
                  <c:v>7000</c:v>
                </c:pt>
                <c:pt idx="20">
                  <c:v>5000</c:v>
                </c:pt>
                <c:pt idx="21">
                  <c:v>3000</c:v>
                </c:pt>
                <c:pt idx="22">
                  <c:v>1000</c:v>
                </c:pt>
              </c:numCache>
            </c:numRef>
          </c:xVal>
          <c:yVal>
            <c:numRef>
              <c:f>'AFM Climb'!$AG$3:$AG$25</c:f>
              <c:numCache>
                <c:formatCode>0.0</c:formatCode>
                <c:ptCount val="23"/>
              </c:numCache>
            </c:numRef>
          </c:yVal>
          <c:smooth val="0"/>
          <c:extLst>
            <c:ext xmlns:c16="http://schemas.microsoft.com/office/drawing/2014/chart" uri="{C3380CC4-5D6E-409C-BE32-E72D297353CC}">
              <c16:uniqueId val="{00000001-A0EE-4206-9891-3368188C5C25}"/>
            </c:ext>
          </c:extLst>
        </c:ser>
        <c:ser>
          <c:idx val="1"/>
          <c:order val="1"/>
          <c:tx>
            <c:strRef>
              <c:f>'Legacy Data'!$A$1</c:f>
              <c:strCache>
                <c:ptCount val="1"/>
                <c:pt idx="0">
                  <c:v>LR31</c:v>
                </c:pt>
              </c:strCache>
            </c:strRef>
          </c:tx>
          <c:spPr>
            <a:ln w="25400" cap="rnd">
              <a:noFill/>
              <a:round/>
            </a:ln>
            <a:effectLst/>
          </c:spPr>
          <c:marker>
            <c:symbol val="circle"/>
            <c:size val="5"/>
            <c:spPr>
              <a:solidFill>
                <a:schemeClr val="accent2"/>
              </a:solidFill>
              <a:ln w="9525">
                <a:solidFill>
                  <a:schemeClr val="accent2"/>
                </a:solidFill>
              </a:ln>
              <a:effectLst/>
            </c:spPr>
          </c:marker>
          <c:xVal>
            <c:numRef>
              <c:f>'Legacy Data'!$A$3:$A$12</c:f>
              <c:numCache>
                <c:formatCode>General</c:formatCode>
                <c:ptCount val="10"/>
                <c:pt idx="0">
                  <c:v>43000</c:v>
                </c:pt>
                <c:pt idx="1">
                  <c:v>10000</c:v>
                </c:pt>
                <c:pt idx="2">
                  <c:v>15000</c:v>
                </c:pt>
                <c:pt idx="3">
                  <c:v>35000</c:v>
                </c:pt>
                <c:pt idx="4">
                  <c:v>5000</c:v>
                </c:pt>
                <c:pt idx="5">
                  <c:v>39000</c:v>
                </c:pt>
                <c:pt idx="6">
                  <c:v>25000</c:v>
                </c:pt>
                <c:pt idx="7">
                  <c:v>41000</c:v>
                </c:pt>
                <c:pt idx="8">
                  <c:v>30000</c:v>
                </c:pt>
                <c:pt idx="9">
                  <c:v>20000</c:v>
                </c:pt>
              </c:numCache>
            </c:numRef>
          </c:xVal>
          <c:yVal>
            <c:numRef>
              <c:f>'Legacy Data'!$B$3:$B$12</c:f>
              <c:numCache>
                <c:formatCode>General</c:formatCode>
                <c:ptCount val="10"/>
                <c:pt idx="0">
                  <c:v>402</c:v>
                </c:pt>
                <c:pt idx="1">
                  <c:v>296</c:v>
                </c:pt>
                <c:pt idx="2">
                  <c:v>321</c:v>
                </c:pt>
                <c:pt idx="3">
                  <c:v>403</c:v>
                </c:pt>
                <c:pt idx="4">
                  <c:v>274</c:v>
                </c:pt>
                <c:pt idx="5">
                  <c:v>402</c:v>
                </c:pt>
                <c:pt idx="6">
                  <c:v>381</c:v>
                </c:pt>
                <c:pt idx="7">
                  <c:v>402</c:v>
                </c:pt>
                <c:pt idx="8">
                  <c:v>418</c:v>
                </c:pt>
                <c:pt idx="9">
                  <c:v>349</c:v>
                </c:pt>
              </c:numCache>
            </c:numRef>
          </c:yVal>
          <c:smooth val="0"/>
          <c:extLst>
            <c:ext xmlns:c16="http://schemas.microsoft.com/office/drawing/2014/chart" uri="{C3380CC4-5D6E-409C-BE32-E72D297353CC}">
              <c16:uniqueId val="{00000002-A0EE-4206-9891-3368188C5C25}"/>
            </c:ext>
          </c:extLst>
        </c:ser>
        <c:ser>
          <c:idx val="2"/>
          <c:order val="2"/>
          <c:tx>
            <c:strRef>
              <c:f>'Legacy Data'!$O$1</c:f>
              <c:strCache>
                <c:ptCount val="1"/>
                <c:pt idx="0">
                  <c:v>LR31 2</c:v>
                </c:pt>
              </c:strCache>
            </c:strRef>
          </c:tx>
          <c:spPr>
            <a:ln w="25400" cap="rnd">
              <a:noFill/>
              <a:round/>
            </a:ln>
            <a:effectLst/>
          </c:spPr>
          <c:marker>
            <c:symbol val="circle"/>
            <c:size val="5"/>
            <c:spPr>
              <a:solidFill>
                <a:schemeClr val="accent3"/>
              </a:solidFill>
              <a:ln w="9525">
                <a:solidFill>
                  <a:schemeClr val="accent3"/>
                </a:solidFill>
              </a:ln>
              <a:effectLst/>
            </c:spPr>
          </c:marker>
          <c:xVal>
            <c:numRef>
              <c:f>'Legacy Data'!$O$3:$O$12</c:f>
              <c:numCache>
                <c:formatCode>General</c:formatCode>
                <c:ptCount val="10"/>
                <c:pt idx="0">
                  <c:v>10000</c:v>
                </c:pt>
                <c:pt idx="1">
                  <c:v>20000</c:v>
                </c:pt>
                <c:pt idx="2">
                  <c:v>30000</c:v>
                </c:pt>
                <c:pt idx="3">
                  <c:v>47000</c:v>
                </c:pt>
                <c:pt idx="4">
                  <c:v>35000</c:v>
                </c:pt>
                <c:pt idx="5">
                  <c:v>15000</c:v>
                </c:pt>
                <c:pt idx="6">
                  <c:v>1000</c:v>
                </c:pt>
                <c:pt idx="7">
                  <c:v>25000</c:v>
                </c:pt>
                <c:pt idx="8">
                  <c:v>40000</c:v>
                </c:pt>
                <c:pt idx="9">
                  <c:v>5000</c:v>
                </c:pt>
              </c:numCache>
            </c:numRef>
          </c:xVal>
          <c:yVal>
            <c:numRef>
              <c:f>'Legacy Data'!$Q$3:$Q$12</c:f>
              <c:numCache>
                <c:formatCode>General</c:formatCode>
                <c:ptCount val="10"/>
                <c:pt idx="0">
                  <c:v>269</c:v>
                </c:pt>
                <c:pt idx="1">
                  <c:v>318</c:v>
                </c:pt>
                <c:pt idx="2">
                  <c:v>365</c:v>
                </c:pt>
                <c:pt idx="3">
                  <c:v>433</c:v>
                </c:pt>
                <c:pt idx="4">
                  <c:v>435</c:v>
                </c:pt>
                <c:pt idx="5">
                  <c:v>300</c:v>
                </c:pt>
                <c:pt idx="6">
                  <c:v>232</c:v>
                </c:pt>
                <c:pt idx="7">
                  <c:v>349</c:v>
                </c:pt>
                <c:pt idx="8">
                  <c:v>433</c:v>
                </c:pt>
                <c:pt idx="9">
                  <c:v>254</c:v>
                </c:pt>
              </c:numCache>
            </c:numRef>
          </c:yVal>
          <c:smooth val="0"/>
          <c:extLst>
            <c:ext xmlns:c16="http://schemas.microsoft.com/office/drawing/2014/chart" uri="{C3380CC4-5D6E-409C-BE32-E72D297353CC}">
              <c16:uniqueId val="{00000003-A0EE-4206-9891-3368188C5C25}"/>
            </c:ext>
          </c:extLst>
        </c:ser>
        <c:ser>
          <c:idx val="3"/>
          <c:order val="3"/>
          <c:tx>
            <c:strRef>
              <c:f>'Legacy Data'!$V$1</c:f>
              <c:strCache>
                <c:ptCount val="1"/>
                <c:pt idx="0">
                  <c:v>LR35 Pod</c:v>
                </c:pt>
              </c:strCache>
            </c:strRef>
          </c:tx>
          <c:spPr>
            <a:ln w="25400" cap="rnd">
              <a:noFill/>
              <a:round/>
            </a:ln>
            <a:effectLst/>
          </c:spPr>
          <c:marker>
            <c:symbol val="circle"/>
            <c:size val="5"/>
            <c:spPr>
              <a:solidFill>
                <a:schemeClr val="accent4"/>
              </a:solidFill>
              <a:ln w="9525">
                <a:solidFill>
                  <a:schemeClr val="accent4"/>
                </a:solidFill>
              </a:ln>
              <a:effectLst/>
            </c:spPr>
          </c:marker>
          <c:xVal>
            <c:numRef>
              <c:f>'Legacy Data'!$V$3:$V$6</c:f>
              <c:numCache>
                <c:formatCode>General</c:formatCode>
                <c:ptCount val="4"/>
                <c:pt idx="0">
                  <c:v>10000</c:v>
                </c:pt>
                <c:pt idx="1">
                  <c:v>20000</c:v>
                </c:pt>
                <c:pt idx="2">
                  <c:v>30000</c:v>
                </c:pt>
                <c:pt idx="3">
                  <c:v>35000</c:v>
                </c:pt>
              </c:numCache>
            </c:numRef>
          </c:xVal>
          <c:yVal>
            <c:numRef>
              <c:f>'Legacy Data'!$X$3:$X$6</c:f>
              <c:numCache>
                <c:formatCode>General</c:formatCode>
                <c:ptCount val="4"/>
                <c:pt idx="0">
                  <c:v>260</c:v>
                </c:pt>
                <c:pt idx="1">
                  <c:v>300</c:v>
                </c:pt>
                <c:pt idx="2">
                  <c:v>360</c:v>
                </c:pt>
                <c:pt idx="3">
                  <c:v>380</c:v>
                </c:pt>
              </c:numCache>
            </c:numRef>
          </c:yVal>
          <c:smooth val="0"/>
          <c:extLst>
            <c:ext xmlns:c16="http://schemas.microsoft.com/office/drawing/2014/chart" uri="{C3380CC4-5D6E-409C-BE32-E72D297353CC}">
              <c16:uniqueId val="{00000004-A0EE-4206-9891-3368188C5C25}"/>
            </c:ext>
          </c:extLst>
        </c:ser>
        <c:ser>
          <c:idx val="4"/>
          <c:order val="4"/>
          <c:tx>
            <c:strRef>
              <c:f>'AFM Climb'!$AH$2</c:f>
              <c:strCache>
                <c:ptCount val="1"/>
              </c:strCache>
            </c:strRef>
          </c:tx>
          <c:spPr>
            <a:ln w="25400" cap="rnd">
              <a:noFill/>
              <a:round/>
            </a:ln>
            <a:effectLst/>
          </c:spPr>
          <c:marker>
            <c:symbol val="none"/>
          </c:marker>
          <c:trendline>
            <c:spPr>
              <a:ln w="19050" cap="rnd">
                <a:solidFill>
                  <a:schemeClr val="accent5"/>
                </a:solidFill>
                <a:prstDash val="solid"/>
              </a:ln>
              <a:effectLst/>
            </c:spPr>
            <c:trendlineType val="movingAvg"/>
            <c:period val="2"/>
            <c:dispRSqr val="0"/>
            <c:dispEq val="0"/>
          </c:trendline>
          <c:xVal>
            <c:numRef>
              <c:f>'AFM Climb'!$A$6:$A$25</c:f>
              <c:numCache>
                <c:formatCode>0.0</c:formatCode>
                <c:ptCount val="20"/>
                <c:pt idx="0">
                  <c:v>39000</c:v>
                </c:pt>
                <c:pt idx="1">
                  <c:v>37000</c:v>
                </c:pt>
                <c:pt idx="2">
                  <c:v>35000</c:v>
                </c:pt>
                <c:pt idx="3">
                  <c:v>33000</c:v>
                </c:pt>
                <c:pt idx="4">
                  <c:v>31000</c:v>
                </c:pt>
                <c:pt idx="5">
                  <c:v>29000</c:v>
                </c:pt>
                <c:pt idx="6">
                  <c:v>27000</c:v>
                </c:pt>
                <c:pt idx="7">
                  <c:v>25000</c:v>
                </c:pt>
                <c:pt idx="8">
                  <c:v>23000</c:v>
                </c:pt>
                <c:pt idx="9">
                  <c:v>21000</c:v>
                </c:pt>
                <c:pt idx="10">
                  <c:v>19000</c:v>
                </c:pt>
                <c:pt idx="11">
                  <c:v>17000</c:v>
                </c:pt>
                <c:pt idx="12">
                  <c:v>15000</c:v>
                </c:pt>
                <c:pt idx="13">
                  <c:v>13000</c:v>
                </c:pt>
                <c:pt idx="14">
                  <c:v>11000</c:v>
                </c:pt>
                <c:pt idx="15">
                  <c:v>9000</c:v>
                </c:pt>
                <c:pt idx="16">
                  <c:v>7000</c:v>
                </c:pt>
                <c:pt idx="17">
                  <c:v>5000</c:v>
                </c:pt>
                <c:pt idx="18">
                  <c:v>3000</c:v>
                </c:pt>
                <c:pt idx="19">
                  <c:v>1000</c:v>
                </c:pt>
              </c:numCache>
            </c:numRef>
          </c:xVal>
          <c:yVal>
            <c:numRef>
              <c:f>'AFM Climb'!$T$6:$T$25</c:f>
              <c:numCache>
                <c:formatCode>0.0</c:formatCode>
                <c:ptCount val="20"/>
                <c:pt idx="0">
                  <c:v>352</c:v>
                </c:pt>
                <c:pt idx="1">
                  <c:v>352</c:v>
                </c:pt>
                <c:pt idx="2">
                  <c:v>353.7</c:v>
                </c:pt>
                <c:pt idx="3">
                  <c:v>359.7</c:v>
                </c:pt>
                <c:pt idx="4">
                  <c:v>362.7</c:v>
                </c:pt>
                <c:pt idx="5">
                  <c:v>365.8</c:v>
                </c:pt>
                <c:pt idx="6">
                  <c:v>354</c:v>
                </c:pt>
                <c:pt idx="7">
                  <c:v>342.6</c:v>
                </c:pt>
                <c:pt idx="8">
                  <c:v>331.6</c:v>
                </c:pt>
                <c:pt idx="9">
                  <c:v>321.2</c:v>
                </c:pt>
                <c:pt idx="10">
                  <c:v>311.10000000000002</c:v>
                </c:pt>
                <c:pt idx="11">
                  <c:v>301.5</c:v>
                </c:pt>
                <c:pt idx="12">
                  <c:v>292.2</c:v>
                </c:pt>
                <c:pt idx="13">
                  <c:v>283.39999999999998</c:v>
                </c:pt>
                <c:pt idx="14">
                  <c:v>275</c:v>
                </c:pt>
                <c:pt idx="15">
                  <c:v>266.8</c:v>
                </c:pt>
                <c:pt idx="16">
                  <c:v>259</c:v>
                </c:pt>
                <c:pt idx="17">
                  <c:v>251.5</c:v>
                </c:pt>
                <c:pt idx="18">
                  <c:v>244</c:v>
                </c:pt>
                <c:pt idx="19">
                  <c:v>237</c:v>
                </c:pt>
              </c:numCache>
            </c:numRef>
          </c:yVal>
          <c:smooth val="0"/>
          <c:extLst>
            <c:ext xmlns:c16="http://schemas.microsoft.com/office/drawing/2014/chart" uri="{C3380CC4-5D6E-409C-BE32-E72D297353CC}">
              <c16:uniqueId val="{00000006-A0EE-4206-9891-3368188C5C25}"/>
            </c:ext>
          </c:extLst>
        </c:ser>
        <c:ser>
          <c:idx val="5"/>
          <c:order val="5"/>
          <c:tx>
            <c:strRef>
              <c:f>'Legacy Data'!$AC$1</c:f>
              <c:strCache>
                <c:ptCount val="1"/>
                <c:pt idx="0">
                  <c:v>LR35</c:v>
                </c:pt>
              </c:strCache>
            </c:strRef>
          </c:tx>
          <c:spPr>
            <a:ln w="25400" cap="rnd">
              <a:noFill/>
              <a:round/>
            </a:ln>
            <a:effectLst/>
          </c:spPr>
          <c:marker>
            <c:symbol val="circle"/>
            <c:size val="5"/>
            <c:spPr>
              <a:solidFill>
                <a:schemeClr val="accent6"/>
              </a:solidFill>
              <a:ln w="9525">
                <a:solidFill>
                  <a:schemeClr val="accent6"/>
                </a:solidFill>
              </a:ln>
              <a:effectLst/>
            </c:spPr>
          </c:marker>
          <c:xVal>
            <c:numRef>
              <c:f>'Legacy Data'!$AC$3:$AC$10</c:f>
              <c:numCache>
                <c:formatCode>General</c:formatCode>
                <c:ptCount val="8"/>
                <c:pt idx="0">
                  <c:v>35000</c:v>
                </c:pt>
                <c:pt idx="1">
                  <c:v>28000</c:v>
                </c:pt>
                <c:pt idx="2">
                  <c:v>40000</c:v>
                </c:pt>
                <c:pt idx="3">
                  <c:v>27000</c:v>
                </c:pt>
                <c:pt idx="4">
                  <c:v>20000</c:v>
                </c:pt>
                <c:pt idx="5">
                  <c:v>30000</c:v>
                </c:pt>
                <c:pt idx="6">
                  <c:v>2000</c:v>
                </c:pt>
                <c:pt idx="7">
                  <c:v>10000</c:v>
                </c:pt>
              </c:numCache>
            </c:numRef>
          </c:xVal>
          <c:yVal>
            <c:numRef>
              <c:f>'Legacy Data'!$AE$3:$AE$10</c:f>
              <c:numCache>
                <c:formatCode>General</c:formatCode>
                <c:ptCount val="8"/>
                <c:pt idx="0">
                  <c:v>430</c:v>
                </c:pt>
                <c:pt idx="1">
                  <c:v>370</c:v>
                </c:pt>
                <c:pt idx="2">
                  <c:v>440</c:v>
                </c:pt>
                <c:pt idx="3">
                  <c:v>370</c:v>
                </c:pt>
                <c:pt idx="4">
                  <c:v>340</c:v>
                </c:pt>
                <c:pt idx="5">
                  <c:v>400</c:v>
                </c:pt>
                <c:pt idx="6">
                  <c:v>250</c:v>
                </c:pt>
                <c:pt idx="7">
                  <c:v>280</c:v>
                </c:pt>
              </c:numCache>
            </c:numRef>
          </c:yVal>
          <c:smooth val="0"/>
          <c:extLst>
            <c:ext xmlns:c16="http://schemas.microsoft.com/office/drawing/2014/chart" uri="{C3380CC4-5D6E-409C-BE32-E72D297353CC}">
              <c16:uniqueId val="{00000007-A0EE-4206-9891-3368188C5C25}"/>
            </c:ext>
          </c:extLst>
        </c:ser>
        <c:dLbls>
          <c:showLegendKey val="0"/>
          <c:showVal val="0"/>
          <c:showCatName val="0"/>
          <c:showSerName val="0"/>
          <c:showPercent val="0"/>
          <c:showBubbleSize val="0"/>
        </c:dLbls>
        <c:axId val="1005056032"/>
        <c:axId val="1005063104"/>
      </c:scatterChart>
      <c:valAx>
        <c:axId val="1005056032"/>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063104"/>
        <c:crosses val="autoZero"/>
        <c:crossBetween val="midCat"/>
      </c:valAx>
      <c:valAx>
        <c:axId val="100506310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056032"/>
        <c:crosses val="autoZero"/>
        <c:crossBetween val="midCat"/>
      </c:valAx>
      <c:spPr>
        <a:noFill/>
        <a:ln>
          <a:noFill/>
        </a:ln>
        <a:effectLst/>
      </c:spPr>
    </c:plotArea>
    <c:legend>
      <c:legendPos val="r"/>
      <c:layout>
        <c:manualLayout>
          <c:xMode val="edge"/>
          <c:yMode val="edge"/>
          <c:x val="0.82625774278215225"/>
          <c:y val="0.10268280445986906"/>
          <c:w val="0.17374225721784778"/>
          <c:h val="0.2843621798460027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oneCellAnchor>
    <xdr:from>
      <xdr:col>0</xdr:col>
      <xdr:colOff>457200</xdr:colOff>
      <xdr:row>1</xdr:row>
      <xdr:rowOff>76200</xdr:rowOff>
    </xdr:from>
    <xdr:ext cx="838200" cy="592455"/>
    <xdr:pic>
      <xdr:nvPicPr>
        <xdr:cNvPr id="2" name="Picture 2">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57200" y="266700"/>
          <a:ext cx="838200" cy="592455"/>
        </a:xfrm>
        <a:prstGeom prst="rect">
          <a:avLst/>
        </a:prstGeom>
        <a:noFill/>
        <a:ln w="9525">
          <a:noFill/>
          <a:miter lim="800000"/>
          <a:headEnd/>
          <a:tailEnd/>
        </a:ln>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619125</xdr:colOff>
          <xdr:row>7</xdr:row>
          <xdr:rowOff>133350</xdr:rowOff>
        </xdr:from>
        <xdr:to>
          <xdr:col>10</xdr:col>
          <xdr:colOff>676275</xdr:colOff>
          <xdr:row>7</xdr:row>
          <xdr:rowOff>742950</xdr:rowOff>
        </xdr:to>
        <xdr:sp macro="" textlink="">
          <xdr:nvSpPr>
            <xdr:cNvPr id="1060" name="Button 36" descr="Create Profiles"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Create Aircraft Profiles</a:t>
              </a:r>
            </a:p>
            <a:p>
              <a:pPr algn="ctr" rtl="0">
                <a:defRPr sz="1000"/>
              </a:pPr>
              <a:endParaRPr lang="en-AU"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26</xdr:row>
      <xdr:rowOff>185736</xdr:rowOff>
    </xdr:from>
    <xdr:to>
      <xdr:col>9</xdr:col>
      <xdr:colOff>333376</xdr:colOff>
      <xdr:row>47</xdr:row>
      <xdr:rowOff>95249</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466725</xdr:colOff>
      <xdr:row>28</xdr:row>
      <xdr:rowOff>57150</xdr:rowOff>
    </xdr:from>
    <xdr:to>
      <xdr:col>32</xdr:col>
      <xdr:colOff>38100</xdr:colOff>
      <xdr:row>48</xdr:row>
      <xdr:rowOff>119063</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29</xdr:row>
      <xdr:rowOff>0</xdr:rowOff>
    </xdr:from>
    <xdr:to>
      <xdr:col>20</xdr:col>
      <xdr:colOff>333376</xdr:colOff>
      <xdr:row>49</xdr:row>
      <xdr:rowOff>100013</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34</xdr:col>
      <xdr:colOff>0</xdr:colOff>
      <xdr:row>28</xdr:row>
      <xdr:rowOff>0</xdr:rowOff>
    </xdr:from>
    <xdr:to>
      <xdr:col>44</xdr:col>
      <xdr:colOff>238125</xdr:colOff>
      <xdr:row>48</xdr:row>
      <xdr:rowOff>61913</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25</xdr:col>
      <xdr:colOff>529757</xdr:colOff>
      <xdr:row>117</xdr:row>
      <xdr:rowOff>67237</xdr:rowOff>
    </xdr:from>
    <xdr:to>
      <xdr:col>33</xdr:col>
      <xdr:colOff>224957</xdr:colOff>
      <xdr:row>133</xdr:row>
      <xdr:rowOff>102535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1085849</xdr:colOff>
      <xdr:row>76</xdr:row>
      <xdr:rowOff>116541</xdr:rowOff>
    </xdr:from>
    <xdr:to>
      <xdr:col>27</xdr:col>
      <xdr:colOff>226358</xdr:colOff>
      <xdr:row>108</xdr:row>
      <xdr:rowOff>49866</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352425</xdr:colOff>
      <xdr:row>76</xdr:row>
      <xdr:rowOff>28575</xdr:rowOff>
    </xdr:from>
    <xdr:to>
      <xdr:col>29</xdr:col>
      <xdr:colOff>47625</xdr:colOff>
      <xdr:row>107</xdr:row>
      <xdr:rowOff>152400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326651</xdr:colOff>
      <xdr:row>96</xdr:row>
      <xdr:rowOff>26334</xdr:rowOff>
    </xdr:from>
    <xdr:to>
      <xdr:col>33</xdr:col>
      <xdr:colOff>593351</xdr:colOff>
      <xdr:row>127</xdr:row>
      <xdr:rowOff>150159</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314325</xdr:colOff>
      <xdr:row>26</xdr:row>
      <xdr:rowOff>19050</xdr:rowOff>
    </xdr:from>
    <xdr:to>
      <xdr:col>22</xdr:col>
      <xdr:colOff>161925</xdr:colOff>
      <xdr:row>54</xdr:row>
      <xdr:rowOff>28575</xdr:rowOff>
    </xdr:to>
    <xdr:graphicFrame macro="">
      <xdr:nvGraphicFramePr>
        <xdr:cNvPr id="6" name="Chart 5">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254793</xdr:colOff>
      <xdr:row>7</xdr:row>
      <xdr:rowOff>66675</xdr:rowOff>
    </xdr:from>
    <xdr:to>
      <xdr:col>28</xdr:col>
      <xdr:colOff>559594</xdr:colOff>
      <xdr:row>39</xdr:row>
      <xdr:rowOff>0</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1</xdr:colOff>
      <xdr:row>17</xdr:row>
      <xdr:rowOff>157161</xdr:rowOff>
    </xdr:from>
    <xdr:to>
      <xdr:col>26</xdr:col>
      <xdr:colOff>228601</xdr:colOff>
      <xdr:row>46</xdr:row>
      <xdr:rowOff>47624</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209550</xdr:colOff>
      <xdr:row>18</xdr:row>
      <xdr:rowOff>66675</xdr:rowOff>
    </xdr:from>
    <xdr:to>
      <xdr:col>36</xdr:col>
      <xdr:colOff>180975</xdr:colOff>
      <xdr:row>32</xdr:row>
      <xdr:rowOff>142875</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523875</xdr:colOff>
      <xdr:row>18</xdr:row>
      <xdr:rowOff>104775</xdr:rowOff>
    </xdr:from>
    <xdr:to>
      <xdr:col>14</xdr:col>
      <xdr:colOff>219075</xdr:colOff>
      <xdr:row>50</xdr:row>
      <xdr:rowOff>38100</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7888-9047-4DC9-8627-5F2CD67884CC}">
  <dimension ref="A1:I47"/>
  <sheetViews>
    <sheetView topLeftCell="A22" zoomScaleNormal="100" workbookViewId="0">
      <selection activeCell="L32" sqref="L32"/>
    </sheetView>
  </sheetViews>
  <sheetFormatPr defaultRowHeight="15"/>
  <cols>
    <col min="6" max="6" width="9.140625" style="28"/>
    <col min="7" max="7" width="15.28515625" customWidth="1"/>
    <col min="8" max="8" width="10.7109375" bestFit="1" customWidth="1"/>
  </cols>
  <sheetData>
    <row r="1" spans="1:9">
      <c r="A1" s="42"/>
      <c r="B1" s="40"/>
      <c r="C1" s="40"/>
      <c r="D1" s="40"/>
      <c r="E1" s="40"/>
      <c r="F1" s="41"/>
      <c r="G1" s="40"/>
      <c r="H1" s="40"/>
      <c r="I1" s="39"/>
    </row>
    <row r="2" spans="1:9">
      <c r="A2" s="13"/>
      <c r="B2" s="14"/>
      <c r="C2" s="14"/>
      <c r="D2" s="74" t="s">
        <v>0</v>
      </c>
      <c r="E2" s="75"/>
      <c r="F2" s="75"/>
      <c r="G2" s="75"/>
      <c r="H2" s="76"/>
      <c r="I2" s="16"/>
    </row>
    <row r="3" spans="1:9">
      <c r="A3" s="13"/>
      <c r="B3" s="14"/>
      <c r="C3" s="14"/>
      <c r="D3" s="77"/>
      <c r="E3" s="78"/>
      <c r="F3" s="78"/>
      <c r="G3" s="78"/>
      <c r="H3" s="79"/>
      <c r="I3" s="16"/>
    </row>
    <row r="4" spans="1:9">
      <c r="A4" s="13"/>
      <c r="B4" s="14"/>
      <c r="C4" s="14"/>
      <c r="D4" s="38" t="s">
        <v>1</v>
      </c>
      <c r="E4" s="36"/>
      <c r="F4" s="37"/>
      <c r="G4" s="36" t="s">
        <v>2</v>
      </c>
      <c r="H4" s="35"/>
      <c r="I4" s="16"/>
    </row>
    <row r="5" spans="1:9">
      <c r="A5" s="13"/>
      <c r="B5" s="14"/>
      <c r="C5" s="14"/>
      <c r="D5" s="34" t="s">
        <v>3</v>
      </c>
      <c r="E5" s="33"/>
      <c r="F5" s="32"/>
      <c r="G5" s="31">
        <v>44112</v>
      </c>
      <c r="H5" s="30"/>
      <c r="I5" s="16"/>
    </row>
    <row r="6" spans="1:9">
      <c r="A6" s="13"/>
      <c r="B6" s="14"/>
      <c r="C6" s="14"/>
      <c r="D6" s="14"/>
      <c r="E6" s="14"/>
      <c r="F6" s="43"/>
      <c r="G6" s="14"/>
      <c r="H6" s="14"/>
      <c r="I6" s="16"/>
    </row>
    <row r="7" spans="1:9">
      <c r="A7" s="13"/>
      <c r="B7" s="89" t="s">
        <v>4</v>
      </c>
      <c r="C7" s="90"/>
      <c r="D7" s="90"/>
      <c r="E7" s="90"/>
      <c r="F7" s="90"/>
      <c r="G7" s="90"/>
      <c r="H7" s="91"/>
      <c r="I7" s="16"/>
    </row>
    <row r="8" spans="1:9">
      <c r="A8" s="13"/>
      <c r="B8" s="92"/>
      <c r="C8" s="93"/>
      <c r="D8" s="93"/>
      <c r="E8" s="93"/>
      <c r="F8" s="93"/>
      <c r="G8" s="93"/>
      <c r="H8" s="94"/>
      <c r="I8" s="16"/>
    </row>
    <row r="9" spans="1:9">
      <c r="A9" s="13"/>
      <c r="B9" s="92"/>
      <c r="C9" s="93"/>
      <c r="D9" s="93"/>
      <c r="E9" s="93"/>
      <c r="F9" s="93"/>
      <c r="G9" s="93"/>
      <c r="H9" s="94"/>
      <c r="I9" s="16"/>
    </row>
    <row r="10" spans="1:9">
      <c r="A10" s="13"/>
      <c r="B10" s="95"/>
      <c r="C10" s="96"/>
      <c r="D10" s="96"/>
      <c r="E10" s="96"/>
      <c r="F10" s="96"/>
      <c r="G10" s="96"/>
      <c r="H10" s="97"/>
      <c r="I10" s="16"/>
    </row>
    <row r="11" spans="1:9">
      <c r="A11" s="13"/>
      <c r="B11" s="14"/>
      <c r="C11" s="14"/>
      <c r="D11" s="14"/>
      <c r="E11" s="14"/>
      <c r="F11" s="43"/>
      <c r="G11" s="14"/>
      <c r="H11" s="14"/>
      <c r="I11" s="16"/>
    </row>
    <row r="12" spans="1:9">
      <c r="A12" s="13"/>
      <c r="B12" s="80" t="s">
        <v>5</v>
      </c>
      <c r="C12" s="81"/>
      <c r="D12" s="81"/>
      <c r="E12" s="81"/>
      <c r="F12" s="81"/>
      <c r="G12" s="81"/>
      <c r="H12" s="82"/>
      <c r="I12" s="16"/>
    </row>
    <row r="13" spans="1:9">
      <c r="A13" s="13"/>
      <c r="B13" s="83"/>
      <c r="C13" s="84"/>
      <c r="D13" s="84"/>
      <c r="E13" s="84"/>
      <c r="F13" s="84"/>
      <c r="G13" s="84"/>
      <c r="H13" s="85"/>
      <c r="I13" s="16"/>
    </row>
    <row r="14" spans="1:9">
      <c r="A14" s="13"/>
      <c r="B14" s="86"/>
      <c r="C14" s="87"/>
      <c r="D14" s="87"/>
      <c r="E14" s="87"/>
      <c r="F14" s="87"/>
      <c r="G14" s="87"/>
      <c r="H14" s="88"/>
      <c r="I14" s="16"/>
    </row>
    <row r="15" spans="1:9">
      <c r="A15" s="13"/>
      <c r="B15" s="14"/>
      <c r="C15" s="14"/>
      <c r="D15" s="14"/>
      <c r="E15" s="14"/>
      <c r="F15" s="43"/>
      <c r="G15" s="14"/>
      <c r="H15" s="14"/>
      <c r="I15" s="16"/>
    </row>
    <row r="16" spans="1:9">
      <c r="A16" s="13"/>
      <c r="B16" s="44" t="s">
        <v>6</v>
      </c>
      <c r="C16" s="14"/>
      <c r="D16" s="14"/>
      <c r="E16" s="14"/>
      <c r="F16" s="45" t="s">
        <v>7</v>
      </c>
      <c r="G16" s="14"/>
      <c r="H16" s="14"/>
      <c r="I16" s="16"/>
    </row>
    <row r="17" spans="1:9">
      <c r="A17" s="13"/>
      <c r="B17" s="14" t="s">
        <v>8</v>
      </c>
      <c r="C17" s="14"/>
      <c r="D17" s="14"/>
      <c r="E17" s="14"/>
      <c r="F17" s="43" t="s">
        <v>9</v>
      </c>
      <c r="G17" s="14"/>
      <c r="H17" s="14"/>
      <c r="I17" s="16"/>
    </row>
    <row r="18" spans="1:9">
      <c r="A18" s="13"/>
      <c r="B18" s="14" t="s">
        <v>10</v>
      </c>
      <c r="C18" s="14"/>
      <c r="D18" s="14"/>
      <c r="E18" s="14"/>
      <c r="F18" s="43" t="s">
        <v>9</v>
      </c>
      <c r="G18" s="14"/>
      <c r="H18" s="14"/>
      <c r="I18" s="16"/>
    </row>
    <row r="19" spans="1:9">
      <c r="A19" s="13"/>
      <c r="B19" s="14" t="s">
        <v>11</v>
      </c>
      <c r="C19" s="14"/>
      <c r="D19" s="14"/>
      <c r="E19" s="14"/>
      <c r="F19" s="43" t="s">
        <v>9</v>
      </c>
      <c r="G19" s="14"/>
      <c r="H19" s="14"/>
      <c r="I19" s="16"/>
    </row>
    <row r="20" spans="1:9">
      <c r="A20" s="13"/>
      <c r="B20" s="14" t="s">
        <v>12</v>
      </c>
      <c r="C20" s="14"/>
      <c r="D20" s="14"/>
      <c r="E20" s="14"/>
      <c r="F20" s="43" t="s">
        <v>9</v>
      </c>
      <c r="G20" s="14"/>
      <c r="H20" s="14"/>
      <c r="I20" s="16"/>
    </row>
    <row r="21" spans="1:9">
      <c r="A21" s="13"/>
      <c r="B21" s="14" t="s">
        <v>13</v>
      </c>
      <c r="C21" s="14"/>
      <c r="D21" s="14"/>
      <c r="E21" s="14"/>
      <c r="F21" s="43">
        <v>50</v>
      </c>
      <c r="G21" s="14"/>
      <c r="H21" s="14"/>
      <c r="I21" s="16"/>
    </row>
    <row r="22" spans="1:9">
      <c r="A22" s="13"/>
      <c r="B22" s="14" t="s">
        <v>14</v>
      </c>
      <c r="C22" s="14"/>
      <c r="D22" s="14"/>
      <c r="E22" s="46" t="s">
        <v>15</v>
      </c>
      <c r="F22" s="47">
        <v>2</v>
      </c>
      <c r="G22" s="14"/>
      <c r="H22" s="14"/>
      <c r="I22" s="16"/>
    </row>
    <row r="23" spans="1:9">
      <c r="A23" s="13"/>
      <c r="B23" s="14"/>
      <c r="C23" s="11" t="str">
        <f>'Aircraft Data'!D4</f>
        <v>SLD</v>
      </c>
      <c r="D23" s="14"/>
      <c r="E23" s="46" t="s">
        <v>15</v>
      </c>
      <c r="F23" s="12" t="str">
        <f>'Aircraft Data'!H4</f>
        <v>,"Code":"</v>
      </c>
      <c r="G23" s="14"/>
      <c r="H23" s="14"/>
      <c r="I23" s="16"/>
    </row>
    <row r="24" spans="1:9">
      <c r="A24" s="13"/>
      <c r="B24" s="14"/>
      <c r="C24" s="11" t="str">
        <f>'Aircraft Data'!D5</f>
        <v>LRX</v>
      </c>
      <c r="D24" s="14"/>
      <c r="E24" s="46" t="s">
        <v>15</v>
      </c>
      <c r="F24" s="12" t="str">
        <f>'Aircraft Data'!H5</f>
        <v>,"Code":"</v>
      </c>
      <c r="G24" s="14"/>
      <c r="H24" s="14"/>
      <c r="I24" s="16"/>
    </row>
    <row r="25" spans="1:9">
      <c r="A25" s="13"/>
      <c r="B25" s="14"/>
      <c r="C25" s="11" t="str">
        <f>'Aircraft Data'!D6</f>
        <v>LJQ</v>
      </c>
      <c r="D25" s="14"/>
      <c r="E25" s="46" t="s">
        <v>15</v>
      </c>
      <c r="F25" s="12" t="str">
        <f>'Aircraft Data'!H6</f>
        <v>,"Code":"</v>
      </c>
      <c r="G25" s="14"/>
      <c r="H25" s="14"/>
      <c r="I25" s="16"/>
    </row>
    <row r="26" spans="1:9">
      <c r="A26" s="13"/>
      <c r="B26" s="14"/>
      <c r="C26" s="11" t="str">
        <f>'Aircraft Data'!D7</f>
        <v>LJJ</v>
      </c>
      <c r="D26" s="14"/>
      <c r="E26" s="46" t="s">
        <v>15</v>
      </c>
      <c r="F26" s="12" t="str">
        <f>'Aircraft Data'!H7</f>
        <v>,"Code":"</v>
      </c>
      <c r="G26" s="14"/>
      <c r="H26" s="14"/>
      <c r="I26" s="16"/>
    </row>
    <row r="27" spans="1:9">
      <c r="A27" s="13"/>
      <c r="B27" s="14"/>
      <c r="C27" s="11" t="str">
        <f>'Aircraft Data'!D8</f>
        <v>LJU</v>
      </c>
      <c r="D27" s="14"/>
      <c r="E27" s="46" t="s">
        <v>15</v>
      </c>
      <c r="F27" s="12" t="str">
        <f>'Aircraft Data'!H8</f>
        <v>,"Code":"</v>
      </c>
      <c r="G27" s="14"/>
      <c r="H27" s="14"/>
      <c r="I27" s="16"/>
    </row>
    <row r="28" spans="1:9">
      <c r="A28" s="13"/>
      <c r="B28" s="14"/>
      <c r="C28" s="11" t="str">
        <f>'Aircraft Data'!D9</f>
        <v>LPS</v>
      </c>
      <c r="D28" s="14"/>
      <c r="E28" s="46" t="s">
        <v>15</v>
      </c>
      <c r="F28" s="12" t="str">
        <f>'Aircraft Data'!H9</f>
        <v>,"Code":"</v>
      </c>
      <c r="G28" s="14"/>
      <c r="H28" s="14"/>
      <c r="I28" s="16"/>
    </row>
    <row r="29" spans="1:9">
      <c r="A29" s="13"/>
      <c r="B29" s="14"/>
      <c r="C29" s="11" t="str">
        <f>'Aircraft Data'!D10</f>
        <v>SLE</v>
      </c>
      <c r="D29" s="14"/>
      <c r="E29" s="46" t="s">
        <v>15</v>
      </c>
      <c r="F29" s="12" t="str">
        <f>'Aircraft Data'!H10</f>
        <v>,"Code":"</v>
      </c>
      <c r="G29" s="14"/>
      <c r="H29" s="14"/>
      <c r="I29" s="16"/>
    </row>
    <row r="30" spans="1:9">
      <c r="A30" s="13"/>
      <c r="B30" s="14"/>
      <c r="C30" s="11" t="str">
        <f>'Aircraft Data'!D11</f>
        <v>VLJ</v>
      </c>
      <c r="D30" s="14"/>
      <c r="E30" s="46" t="s">
        <v>15</v>
      </c>
      <c r="F30" s="12" t="str">
        <f>'Aircraft Data'!H11</f>
        <v>,"Code":"</v>
      </c>
      <c r="G30" s="14"/>
      <c r="H30" s="14"/>
      <c r="I30" s="16"/>
    </row>
    <row r="31" spans="1:9">
      <c r="A31" s="13"/>
      <c r="B31" s="14"/>
      <c r="C31" s="11" t="str">
        <f>'Aircraft Data'!D12</f>
        <v>LFA</v>
      </c>
      <c r="D31" s="14"/>
      <c r="E31" s="46" t="s">
        <v>15</v>
      </c>
      <c r="F31" s="12" t="str">
        <f>'Aircraft Data'!H12</f>
        <v>,"Code":"</v>
      </c>
      <c r="G31" s="14"/>
      <c r="H31" s="14"/>
      <c r="I31" s="16"/>
    </row>
    <row r="32" spans="1:9">
      <c r="A32" s="13"/>
      <c r="B32" s="14"/>
      <c r="C32" s="11" t="str">
        <f>'Aircraft Data'!D13</f>
        <v>LRH</v>
      </c>
      <c r="D32" s="14"/>
      <c r="E32" s="46" t="s">
        <v>15</v>
      </c>
      <c r="F32" s="12" t="str">
        <f>'Aircraft Data'!H13</f>
        <v>,"Code":"</v>
      </c>
      <c r="G32" s="14"/>
      <c r="H32" s="14"/>
      <c r="I32" s="16"/>
    </row>
    <row r="33" spans="1:9">
      <c r="A33" s="13"/>
      <c r="B33" s="14"/>
      <c r="C33" s="11" t="str">
        <f>'Aircraft Data'!D14</f>
        <v>SLF</v>
      </c>
      <c r="D33" s="14"/>
      <c r="E33" s="46" t="s">
        <v>15</v>
      </c>
      <c r="F33" s="12" t="str">
        <f>'Aircraft Data'!H14</f>
        <v>,"Code":"</v>
      </c>
      <c r="G33" s="14"/>
      <c r="H33" s="14"/>
      <c r="I33" s="16"/>
    </row>
    <row r="34" spans="1:9">
      <c r="A34" s="13"/>
      <c r="B34" s="14"/>
      <c r="C34" s="11" t="str">
        <f>'Aircraft Data'!D15</f>
        <v>LJA</v>
      </c>
      <c r="D34" s="14"/>
      <c r="E34" s="46" t="s">
        <v>15</v>
      </c>
      <c r="F34" s="12" t="str">
        <f>'Aircraft Data'!H15</f>
        <v>,"Code":"</v>
      </c>
      <c r="G34" s="14"/>
      <c r="H34" s="14"/>
      <c r="I34" s="16"/>
    </row>
    <row r="35" spans="1:9">
      <c r="A35" s="13"/>
      <c r="B35" s="14"/>
      <c r="C35" s="11" t="str">
        <f>'Aircraft Data'!D16</f>
        <v>SLJ</v>
      </c>
      <c r="D35" s="14"/>
      <c r="E35" s="46" t="s">
        <v>15</v>
      </c>
      <c r="F35" s="12" t="str">
        <f>'Aircraft Data'!H16</f>
        <v>,"Code":"</v>
      </c>
      <c r="G35" s="14"/>
      <c r="H35" s="14"/>
      <c r="I35" s="16"/>
    </row>
    <row r="36" spans="1:9">
      <c r="A36" s="13"/>
      <c r="B36" s="14"/>
      <c r="C36" s="11" t="str">
        <f>'Aircraft Data'!D17</f>
        <v>LPX</v>
      </c>
      <c r="D36" s="14"/>
      <c r="E36" s="46" t="s">
        <v>15</v>
      </c>
      <c r="F36" s="12" t="str">
        <f>'Aircraft Data'!H17</f>
        <v>,"Code":"</v>
      </c>
      <c r="G36" s="14"/>
      <c r="H36" s="14"/>
      <c r="I36" s="16"/>
    </row>
    <row r="37" spans="1:9">
      <c r="A37" s="13"/>
      <c r="B37" s="14"/>
      <c r="C37" s="11" t="str">
        <f>'Aircraft Data'!D18</f>
        <v>LJW</v>
      </c>
      <c r="D37" s="14"/>
      <c r="E37" s="46" t="s">
        <v>15</v>
      </c>
      <c r="F37" s="12" t="str">
        <f>'Aircraft Data'!H18</f>
        <v>,"Code":"</v>
      </c>
      <c r="G37" s="14"/>
      <c r="H37" s="14"/>
      <c r="I37" s="16"/>
    </row>
    <row r="38" spans="1:9">
      <c r="A38" s="13"/>
      <c r="B38" s="14"/>
      <c r="C38" s="11" t="str">
        <f>'Aircraft Data'!D19</f>
        <v>NPP</v>
      </c>
      <c r="D38" s="14"/>
      <c r="E38" s="46" t="s">
        <v>15</v>
      </c>
      <c r="F38" s="12" t="str">
        <f>'Aircraft Data'!H19</f>
        <v>,"Code":"</v>
      </c>
      <c r="G38" s="14"/>
      <c r="H38" s="14"/>
      <c r="I38" s="16"/>
    </row>
    <row r="39" spans="1:9">
      <c r="A39" s="13"/>
      <c r="B39" s="14"/>
      <c r="C39" s="11" t="str">
        <f>'Aircraft Data'!D20</f>
        <v>LJZ</v>
      </c>
      <c r="D39" s="14"/>
      <c r="E39" s="46" t="s">
        <v>15</v>
      </c>
      <c r="F39" s="12" t="str">
        <f>'Aircraft Data'!H20</f>
        <v>,"Code":"</v>
      </c>
      <c r="G39" s="14"/>
      <c r="H39" s="14"/>
      <c r="I39" s="16"/>
    </row>
    <row r="40" spans="1:9">
      <c r="A40" s="13"/>
      <c r="B40" s="14"/>
      <c r="C40" s="11" t="str">
        <f>'Aircraft Data'!D21</f>
        <v>LPJ</v>
      </c>
      <c r="D40" s="14"/>
      <c r="E40" s="46" t="s">
        <v>15</v>
      </c>
      <c r="F40" s="12" t="str">
        <f>'Aircraft Data'!H21</f>
        <v>,"Code":"</v>
      </c>
      <c r="G40" s="14"/>
      <c r="H40" s="14"/>
      <c r="I40" s="16"/>
    </row>
    <row r="41" spans="1:9">
      <c r="A41" s="13"/>
      <c r="B41" s="14"/>
      <c r="C41" s="11" t="str">
        <f>'Aircraft Data'!D22</f>
        <v>LAB</v>
      </c>
      <c r="D41" s="14"/>
      <c r="E41" s="46" t="s">
        <v>15</v>
      </c>
      <c r="F41" s="12" t="str">
        <f>'Aircraft Data'!H22</f>
        <v>,"Code":"</v>
      </c>
      <c r="G41" s="14"/>
      <c r="H41" s="14"/>
      <c r="I41" s="16"/>
    </row>
    <row r="42" spans="1:9">
      <c r="A42" s="13"/>
      <c r="B42" s="14"/>
      <c r="C42" s="11" t="str">
        <f>'Aircraft Data'!D23</f>
        <v>ZMP</v>
      </c>
      <c r="D42" s="14"/>
      <c r="E42" s="46" t="s">
        <v>15</v>
      </c>
      <c r="F42" s="12" t="str">
        <f>'Aircraft Data'!H23</f>
        <v>,"Code":"</v>
      </c>
      <c r="G42" s="14"/>
      <c r="H42" s="14"/>
      <c r="I42" s="16"/>
    </row>
    <row r="43" spans="1:9">
      <c r="A43" s="13"/>
      <c r="B43" s="14"/>
      <c r="C43" s="11"/>
      <c r="D43" s="14"/>
      <c r="E43" s="14"/>
      <c r="F43" s="43"/>
      <c r="G43" s="14"/>
      <c r="H43" s="14"/>
      <c r="I43" s="16"/>
    </row>
    <row r="44" spans="1:9">
      <c r="A44" s="13"/>
      <c r="B44" s="14"/>
      <c r="C44" s="11"/>
      <c r="D44" s="14"/>
      <c r="E44" s="14"/>
      <c r="F44" s="43"/>
      <c r="G44" s="14"/>
      <c r="H44" s="14"/>
      <c r="I44" s="16"/>
    </row>
    <row r="45" spans="1:9">
      <c r="A45" s="13"/>
      <c r="B45" s="14"/>
      <c r="C45" s="11"/>
      <c r="D45" s="14"/>
      <c r="E45" s="14"/>
      <c r="F45" s="43"/>
      <c r="G45" s="14"/>
      <c r="H45" s="14"/>
      <c r="I45" s="16"/>
    </row>
    <row r="46" spans="1:9">
      <c r="A46" s="13"/>
      <c r="B46" s="14"/>
      <c r="C46" s="11"/>
      <c r="D46" s="14"/>
      <c r="E46" s="14"/>
      <c r="F46" s="43"/>
      <c r="G46" s="14"/>
      <c r="H46" s="14"/>
      <c r="I46" s="16"/>
    </row>
    <row r="47" spans="1:9" ht="15.75" thickBot="1">
      <c r="A47" s="17"/>
      <c r="B47" s="18"/>
      <c r="C47" s="18"/>
      <c r="D47" s="18"/>
      <c r="E47" s="18"/>
      <c r="F47" s="29"/>
      <c r="G47" s="18"/>
      <c r="H47" s="18"/>
      <c r="I47" s="20"/>
    </row>
  </sheetData>
  <mergeCells count="3">
    <mergeCell ref="D2:H3"/>
    <mergeCell ref="B12:H14"/>
    <mergeCell ref="B7:H10"/>
  </mergeCells>
  <pageMargins left="0.7" right="0.7" top="0.54166666666666663"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2DF12-C325-417C-BB43-9FAF42DC62E0}">
  <sheetPr codeName="Sheet1"/>
  <dimension ref="A1:DG21"/>
  <sheetViews>
    <sheetView workbookViewId="0">
      <pane xSplit="11" topLeftCell="X1" activePane="topRight" state="frozen"/>
      <selection pane="topRight" activeCell="Y9" sqref="Y9"/>
    </sheetView>
  </sheetViews>
  <sheetFormatPr defaultRowHeight="15"/>
  <cols>
    <col min="1" max="1" width="12.42578125" customWidth="1"/>
    <col min="2" max="3" width="11" customWidth="1"/>
    <col min="4" max="5" width="6.7109375" customWidth="1"/>
    <col min="6" max="6" width="2.42578125" customWidth="1"/>
    <col min="7" max="7" width="6.42578125" customWidth="1"/>
    <col min="8" max="8" width="6.5703125" style="4" customWidth="1"/>
    <col min="9" max="13" width="11" customWidth="1"/>
    <col min="14" max="14" width="22.140625" customWidth="1"/>
    <col min="15" max="15" width="30.7109375" customWidth="1"/>
    <col min="16" max="16" width="11" customWidth="1"/>
    <col min="33" max="33" width="9.140625" customWidth="1"/>
    <col min="34" max="34" width="17" customWidth="1"/>
    <col min="35" max="35" width="9.140625" customWidth="1"/>
    <col min="107" max="107" width="100.5703125" customWidth="1"/>
  </cols>
  <sheetData>
    <row r="1" spans="1:111" s="60" customFormat="1" ht="18" customHeight="1">
      <c r="A1" s="63" t="s">
        <v>16</v>
      </c>
      <c r="B1" s="64" t="s">
        <v>640</v>
      </c>
      <c r="C1" s="65"/>
      <c r="D1" s="65"/>
      <c r="E1" s="65"/>
      <c r="F1" s="65"/>
      <c r="G1" s="65"/>
      <c r="H1" s="65"/>
      <c r="I1" s="65"/>
      <c r="J1" s="65"/>
      <c r="K1" s="66"/>
      <c r="M1" s="98" t="s">
        <v>18</v>
      </c>
      <c r="N1" s="60" t="str">
        <f>'Aircraft Data'!D1</f>
        <v>Tail number</v>
      </c>
      <c r="O1" s="60">
        <f>'Aircraft Data'!H1</f>
        <v>0</v>
      </c>
      <c r="P1" s="60" t="str">
        <f>'Aircraft Data'!I1</f>
        <v>Type</v>
      </c>
      <c r="Q1" s="60" t="str">
        <f>'Aircraft Data'!K1</f>
        <v>Serial</v>
      </c>
      <c r="R1" s="60" t="str">
        <f>'Aircraft Data'!M1</f>
        <v>Deliniator</v>
      </c>
      <c r="S1" s="60" t="e">
        <f>'Aircraft Data'!#REF!</f>
        <v>#REF!</v>
      </c>
      <c r="T1" s="60" t="e">
        <f>'Aircraft Data'!#REF!</f>
        <v>#REF!</v>
      </c>
      <c r="U1" s="60" t="e">
        <f>'Aircraft Data'!#REF!</f>
        <v>#REF!</v>
      </c>
      <c r="V1" s="60" t="e">
        <f>'Aircraft Data'!#REF!</f>
        <v>#REF!</v>
      </c>
      <c r="W1" s="60">
        <f>'Aircraft Data'!W1</f>
        <v>0</v>
      </c>
      <c r="X1" s="60" t="str">
        <f>'Aircraft Data'!X1</f>
        <v>Engines</v>
      </c>
      <c r="Y1" s="60" t="str">
        <f>'Aircraft Data'!Y1</f>
        <v>SurveillanceEquipment</v>
      </c>
      <c r="Z1" s="60" t="str">
        <f>'Aircraft Data'!AA1</f>
        <v>PBN</v>
      </c>
      <c r="AA1" s="60" t="str">
        <f>'Aircraft Data'!AC1</f>
        <v>EquipmentInformation</v>
      </c>
      <c r="AB1" s="60" t="str">
        <f>'Aircraft Data'!AE1</f>
        <v>SafetyEquipment</v>
      </c>
      <c r="AC1" s="60" t="str">
        <f>'Aircraft Data'!AG1</f>
        <v>EmergencyRadio</v>
      </c>
      <c r="AD1" s="60" t="str">
        <f>'Aircraft Data'!AI1</f>
        <v>STS</v>
      </c>
      <c r="AE1" s="60" t="str">
        <f>'Aircraft Data'!AJ1</f>
        <v>DinghyCapacity</v>
      </c>
      <c r="AF1" s="60" t="str">
        <f>'Aircraft Data'!AK1</f>
        <v>NumberDinghies</v>
      </c>
      <c r="AG1" s="60" t="str">
        <f>'Aircraft Data'!AL1</f>
        <v>DinghiesCovered</v>
      </c>
      <c r="AH1" s="60" t="str">
        <f>'Aircraft Data'!AM1</f>
        <v>DinghyColor</v>
      </c>
      <c r="AI1" s="60" t="str">
        <f>'Aircraft Data'!AN1</f>
        <v>ICAO</v>
      </c>
      <c r="AJ1" s="60">
        <f>'Aircraft Data'!AO1</f>
        <v>0</v>
      </c>
      <c r="AK1" s="60" t="str">
        <f>'Aircraft Data'!AP1</f>
        <v>FuelCapacity</v>
      </c>
      <c r="AL1" s="60" t="str">
        <f>'Aircraft Data'!AR1</f>
        <v>DefaultRefuel</v>
      </c>
      <c r="AM1" s="60">
        <f>'Aircraft Data'!AT1</f>
        <v>0</v>
      </c>
      <c r="AN1" s="60" t="str">
        <f>'Aircraft Data'!AV1</f>
        <v>ReserveFuel</v>
      </c>
      <c r="AO1" s="60">
        <f>'Aircraft Data'!AX1</f>
        <v>0</v>
      </c>
      <c r="AP1" s="60" t="str">
        <f>'Aircraft Data'!AZ1</f>
        <v>FixedReserveTime</v>
      </c>
      <c r="AQ1" s="60" t="str">
        <f>'Aircraft Data'!BB1</f>
        <v>VariableReserveFuel</v>
      </c>
      <c r="AR1" s="60" t="str">
        <f>'Aircraft Data'!BD1</f>
        <v>VariableFuelMinimum</v>
      </c>
      <c r="AS1" s="60" t="str">
        <f>'Aircraft Data'!BF1</f>
        <v>TaxiBurn</v>
      </c>
      <c r="AT1" s="60" t="str">
        <f>'Aircraft Data'!BH1</f>
        <v>ClimbBurn</v>
      </c>
      <c r="AU1" s="60" t="str">
        <f>'Aircraft Data'!BI1</f>
        <v>CruiseBurn</v>
      </c>
      <c r="AV1" s="60" t="str">
        <f>'Aircraft Data'!BJ1</f>
        <v>AWKBurn</v>
      </c>
      <c r="AW1" s="60" t="str">
        <f>'Aircraft Data'!BL1</f>
        <v>HoverBurn</v>
      </c>
      <c r="AX1" s="60">
        <f>'Aircraft Data'!BM1</f>
        <v>0</v>
      </c>
      <c r="AY1" s="60" t="str">
        <f>'Aircraft Data'!BN1</f>
        <v>HoldingTas</v>
      </c>
      <c r="AZ1" s="60" t="str">
        <f>'Aircraft Data'!BP1</f>
        <v>PlannedTas</v>
      </c>
      <c r="BA1" s="60" t="str">
        <f>'Aircraft Data'!BR1</f>
        <v>ClimbTas</v>
      </c>
      <c r="BB1" s="60" t="str">
        <f>'Aircraft Data'!BT1</f>
        <v>CruiseTas</v>
      </c>
      <c r="BC1" s="60" t="str">
        <f>'Aircraft Data'!CB1</f>
        <v>DescentRate</v>
      </c>
      <c r="BD1" s="60" t="e">
        <f>'Aircraft Data'!#REF!</f>
        <v>#REF!</v>
      </c>
      <c r="BE1" s="60" t="str">
        <f>'Aircraft Data'!BV1</f>
        <v>GlideTas</v>
      </c>
      <c r="BF1" s="60" t="str">
        <f>'Aircraft Data'!BX1</f>
        <v>DescentTas</v>
      </c>
      <c r="BG1" s="60" t="str">
        <f>'Aircraft Data'!BZ1</f>
        <v>LoiterTas</v>
      </c>
      <c r="BH1" s="60">
        <f>'Aircraft Data'!CA1</f>
        <v>0</v>
      </c>
      <c r="BI1" s="60" t="str">
        <f>'Aircraft Data'!CD1</f>
        <v>ClimbRate</v>
      </c>
      <c r="BJ1" s="60" t="str">
        <f>'Aircraft Data'!CF1</f>
        <v>GlideRatio</v>
      </c>
      <c r="BK1" s="60" t="str">
        <f>'Aircraft Data'!CH1</f>
        <v>ServiceCeiling</v>
      </c>
      <c r="BL1" s="60">
        <f>'Aircraft Data'!CI1</f>
        <v>0</v>
      </c>
      <c r="BM1" s="60">
        <f>'Aircraft Data'!CJ1</f>
        <v>0</v>
      </c>
      <c r="BN1" s="60" t="str">
        <f>'Aircraft Data'!O1</f>
        <v>Performance</v>
      </c>
      <c r="BO1" s="60" t="str">
        <f>'Aircraft Data'!Q1</f>
        <v>Color</v>
      </c>
      <c r="BP1" s="60" t="str">
        <f>'Aircraft Data'!S1</f>
        <v>Manufacturer</v>
      </c>
      <c r="BQ1" s="60" t="str">
        <f>'Aircraft Data'!U1</f>
        <v>WakeCategory</v>
      </c>
      <c r="BR1" s="60">
        <f>'Aircraft Data'!CK1</f>
        <v>0</v>
      </c>
      <c r="BS1" s="60">
        <f>'Aircraft Data'!CK1</f>
        <v>0</v>
      </c>
      <c r="BT1" s="60">
        <f>'Aircraft Data'!CL1</f>
        <v>0</v>
      </c>
      <c r="BU1" s="60">
        <f>'Aircraft Data'!CM1</f>
        <v>0</v>
      </c>
      <c r="BV1" s="60">
        <f>'Aircraft Data'!CN1</f>
        <v>0</v>
      </c>
      <c r="BW1" s="60">
        <f>'Aircraft Data'!CO1</f>
        <v>0</v>
      </c>
      <c r="BX1" s="60">
        <f>'Aircraft Data'!CP1</f>
        <v>0</v>
      </c>
      <c r="BY1" s="60">
        <f>'Aircraft Data'!CQ1</f>
        <v>0</v>
      </c>
      <c r="BZ1" s="60">
        <f>'Aircraft Data'!CR1</f>
        <v>0</v>
      </c>
      <c r="CA1" s="60">
        <f>'Aircraft Data'!CS1</f>
        <v>0</v>
      </c>
    </row>
    <row r="2" spans="1:111" s="60" customFormat="1">
      <c r="A2" s="67" t="s">
        <v>63</v>
      </c>
      <c r="B2" s="61" t="str" cm="1">
        <f t="array" ref="B2">INDEX(value1,,MATCH(A2,title1,))</f>
        <v>EB1</v>
      </c>
      <c r="C2" s="61"/>
      <c r="D2" s="61"/>
      <c r="E2" s="61"/>
      <c r="F2" s="61"/>
      <c r="G2" s="61"/>
      <c r="H2" s="61"/>
      <c r="I2" s="61"/>
      <c r="J2" s="61"/>
      <c r="K2" s="68"/>
      <c r="M2" s="98"/>
      <c r="N2" s="60">
        <f>'Aircraft Data'!D2</f>
        <v>0</v>
      </c>
      <c r="O2" s="60">
        <f>'Aircraft Data'!H2</f>
        <v>0</v>
      </c>
      <c r="P2" s="60">
        <f>'Aircraft Data'!I2</f>
        <v>0</v>
      </c>
      <c r="Q2" s="60">
        <f>'Aircraft Data'!K2</f>
        <v>0</v>
      </c>
      <c r="R2" s="60">
        <f>'Aircraft Data'!M2</f>
        <v>0</v>
      </c>
      <c r="S2" s="60" t="e">
        <f>'Aircraft Data'!#REF!</f>
        <v>#REF!</v>
      </c>
      <c r="T2" s="60" t="e">
        <f>'Aircraft Data'!#REF!</f>
        <v>#REF!</v>
      </c>
      <c r="U2" s="60" t="e">
        <f>'Aircraft Data'!#REF!</f>
        <v>#REF!</v>
      </c>
      <c r="V2" s="60" t="e">
        <f>'Aircraft Data'!#REF!</f>
        <v>#REF!</v>
      </c>
      <c r="W2" s="60" t="str">
        <f>'Aircraft Data'!W2</f>
        <v>AMD</v>
      </c>
      <c r="X2" s="60">
        <f>'Aircraft Data'!X2</f>
        <v>0</v>
      </c>
      <c r="Y2" s="60">
        <f>'Aircraft Data'!Y2</f>
        <v>0</v>
      </c>
      <c r="Z2" s="60">
        <f>'Aircraft Data'!AA2</f>
        <v>0</v>
      </c>
      <c r="AA2" s="60">
        <f>'Aircraft Data'!AC2</f>
        <v>0</v>
      </c>
      <c r="AB2" s="60">
        <f>'Aircraft Data'!AE2</f>
        <v>0</v>
      </c>
      <c r="AC2" s="60">
        <f>'Aircraft Data'!AG2</f>
        <v>0</v>
      </c>
      <c r="AD2" s="60">
        <f>'Aircraft Data'!AI2</f>
        <v>0</v>
      </c>
      <c r="AE2" s="60">
        <f>'Aircraft Data'!AJ2</f>
        <v>0</v>
      </c>
      <c r="AF2" s="60">
        <f>'Aircraft Data'!AK2</f>
        <v>0</v>
      </c>
      <c r="AG2" s="60">
        <f>'Aircraft Data'!AL2</f>
        <v>0</v>
      </c>
      <c r="AH2" s="60">
        <f>'Aircraft Data'!AM2</f>
        <v>0</v>
      </c>
      <c r="AI2" s="60">
        <f>'Aircraft Data'!AN2</f>
        <v>0</v>
      </c>
      <c r="AJ2" s="60">
        <f>'Aircraft Data'!AO2</f>
        <v>0</v>
      </c>
      <c r="AK2" s="60">
        <f>'Aircraft Data'!AP2</f>
        <v>0</v>
      </c>
      <c r="AL2" s="60" t="str">
        <f>'Aircraft Data'!AR2</f>
        <v>CLN</v>
      </c>
      <c r="AM2" s="60" t="str">
        <f>'Aircraft Data'!AT2</f>
        <v>POD</v>
      </c>
      <c r="AN2" s="60" t="str">
        <f>'Aircraft Data'!AV2</f>
        <v>CLN</v>
      </c>
      <c r="AO2" s="60" t="str">
        <f>'Aircraft Data'!AX2</f>
        <v>POD</v>
      </c>
      <c r="AP2" s="60">
        <f>'Aircraft Data'!AZ2</f>
        <v>0</v>
      </c>
      <c r="AQ2" s="60">
        <f>'Aircraft Data'!BB2</f>
        <v>0</v>
      </c>
      <c r="AR2" s="60">
        <f>'Aircraft Data'!BD2</f>
        <v>0</v>
      </c>
      <c r="AS2" s="60">
        <f>'Aircraft Data'!BF2</f>
        <v>0</v>
      </c>
      <c r="AT2" s="60">
        <f>'Aircraft Data'!BH2</f>
        <v>0</v>
      </c>
      <c r="AU2" s="60">
        <f>'Aircraft Data'!BI2</f>
        <v>0</v>
      </c>
      <c r="AV2" s="60">
        <f>'Aircraft Data'!BJ2</f>
        <v>0</v>
      </c>
      <c r="AW2" s="60">
        <f>'Aircraft Data'!BL2</f>
        <v>0</v>
      </c>
      <c r="AX2" s="60">
        <f>'Aircraft Data'!BM2</f>
        <v>0</v>
      </c>
      <c r="AY2" s="60">
        <f>'Aircraft Data'!BN2</f>
        <v>0</v>
      </c>
      <c r="AZ2" s="60">
        <f>'Aircraft Data'!BP2</f>
        <v>0</v>
      </c>
      <c r="BA2" s="60">
        <f>'Aircraft Data'!BR2</f>
        <v>0</v>
      </c>
      <c r="BB2" s="60">
        <f>'Aircraft Data'!BT2</f>
        <v>0</v>
      </c>
      <c r="BC2" s="60">
        <f>'Aircraft Data'!CB2</f>
        <v>0</v>
      </c>
      <c r="BD2" s="60" t="e">
        <f>'Aircraft Data'!#REF!</f>
        <v>#REF!</v>
      </c>
      <c r="BE2" s="60">
        <f>'Aircraft Data'!BV2</f>
        <v>0</v>
      </c>
      <c r="BF2" s="60">
        <f>'Aircraft Data'!BX2</f>
        <v>0</v>
      </c>
      <c r="BG2" s="60">
        <f>'Aircraft Data'!BZ2</f>
        <v>0</v>
      </c>
      <c r="BH2" s="60">
        <f>'Aircraft Data'!CA2</f>
        <v>0</v>
      </c>
      <c r="BI2" s="60">
        <f>'Aircraft Data'!CD2</f>
        <v>0</v>
      </c>
      <c r="BJ2" s="60">
        <f>'Aircraft Data'!CF2</f>
        <v>0</v>
      </c>
      <c r="BK2" s="60">
        <f>'Aircraft Data'!CH2</f>
        <v>0</v>
      </c>
      <c r="BL2" s="60">
        <f>'Aircraft Data'!CI2</f>
        <v>0</v>
      </c>
      <c r="BM2" s="60">
        <f>'Aircraft Data'!CJ2</f>
        <v>0</v>
      </c>
      <c r="BN2" s="60">
        <f>'Aircraft Data'!O2</f>
        <v>0</v>
      </c>
      <c r="BO2" s="60">
        <f>'Aircraft Data'!Q2</f>
        <v>0</v>
      </c>
      <c r="BP2" s="60">
        <f>'Aircraft Data'!S2</f>
        <v>0</v>
      </c>
      <c r="BQ2" s="60">
        <f>'Aircraft Data'!U2</f>
        <v>0</v>
      </c>
      <c r="BR2" s="60">
        <f>'Aircraft Data'!CK2</f>
        <v>0</v>
      </c>
      <c r="BS2" s="60">
        <f>'Aircraft Data'!CK2</f>
        <v>0</v>
      </c>
      <c r="BT2" s="60">
        <f>'Aircraft Data'!CL2</f>
        <v>0</v>
      </c>
      <c r="BU2" s="60">
        <f>'Aircraft Data'!CM2</f>
        <v>0</v>
      </c>
      <c r="BV2" s="60">
        <f>'Aircraft Data'!CN2</f>
        <v>0</v>
      </c>
      <c r="BW2" s="60">
        <f>'Aircraft Data'!CO2</f>
        <v>0</v>
      </c>
      <c r="BX2" s="60">
        <f>'Aircraft Data'!CP2</f>
        <v>0</v>
      </c>
      <c r="BY2" s="60">
        <f>'Aircraft Data'!CQ2</f>
        <v>0</v>
      </c>
      <c r="BZ2" s="60">
        <f>'Aircraft Data'!CR2</f>
        <v>0</v>
      </c>
      <c r="CA2" s="60">
        <f>'Aircraft Data'!CS2</f>
        <v>0</v>
      </c>
    </row>
    <row r="3" spans="1:111" s="60" customFormat="1">
      <c r="A3" s="67" t="s">
        <v>20</v>
      </c>
      <c r="B3" s="69" t="str">
        <f>S3</f>
        <v>L35</v>
      </c>
      <c r="C3" s="61"/>
      <c r="D3" s="61"/>
      <c r="E3" s="61"/>
      <c r="F3" s="61"/>
      <c r="G3" s="61"/>
      <c r="H3" s="61"/>
      <c r="I3" s="61"/>
      <c r="J3" s="61"/>
      <c r="K3" s="68"/>
      <c r="M3" s="98"/>
      <c r="N3" s="60" t="str" cm="1">
        <f t="array" ref="N3:DG3">_xlfn._xlws.FILTER('Aircraft Data'!D:CW,'Aircraft Data'!D:D=Aircraft!B1)</f>
        <v>LJJ</v>
      </c>
      <c r="O3" s="60" t="str">
        <v>",</v>
      </c>
      <c r="P3" s="60" t="str">
        <v>"type":</v>
      </c>
      <c r="Q3" s="60" t="str">
        <v>1</v>
      </c>
      <c r="R3" s="60" t="str">
        <v>,"Code":"</v>
      </c>
      <c r="S3" s="60" t="str">
        <v>L35</v>
      </c>
      <c r="T3" s="60" t="str">
        <v>","serial":"</v>
      </c>
      <c r="U3" s="60">
        <v>324</v>
      </c>
      <c r="V3" s="60" t="str">
        <v>","deliniator":"</v>
      </c>
      <c r="W3" s="60" t="str">
        <v>32</v>
      </c>
      <c r="X3" s="60" t="str">
        <v>","Performance":"</v>
      </c>
      <c r="Y3" s="60" t="str">
        <v>C</v>
      </c>
      <c r="Z3" s="60" t="str">
        <v>","Color":"</v>
      </c>
      <c r="AA3" s="60" t="str">
        <v>White</v>
      </c>
      <c r="AB3" s="60" t="str">
        <v>","Manufacturer":"</v>
      </c>
      <c r="AC3" s="60" t="str">
        <v>Bombardier</v>
      </c>
      <c r="AD3" s="60" t="str">
        <v>","WakeCategory":"</v>
      </c>
      <c r="AE3" s="60" t="str">
        <v>M</v>
      </c>
      <c r="AF3" s="60" t="str">
        <v>","profiles":[],</v>
      </c>
      <c r="AG3" s="60" t="str">
        <v>"Engines":[],"Engine":"",</v>
      </c>
      <c r="AH3" s="60" t="str">
        <v>"Equipment" : {"SurveillanceEquipment":"</v>
      </c>
      <c r="AI3" s="60" t="str">
        <v>EB1</v>
      </c>
      <c r="AJ3" s="60" t="str">
        <v>","PBN":"</v>
      </c>
      <c r="AK3" s="60" t="str">
        <v>A1O2S1</v>
      </c>
      <c r="AL3" s="60" t="str">
        <v>","EquipmentInformation":"</v>
      </c>
      <c r="AM3" s="60" t="str">
        <v>SDFGHURZW</v>
      </c>
      <c r="AN3" s="60" t="str">
        <v>","SafetyEquipment":"</v>
      </c>
      <c r="AO3" s="60" t="str">
        <v>FG</v>
      </c>
      <c r="AP3" s="60" t="str">
        <v>","EmergencyRadio":"</v>
      </c>
      <c r="AQ3" s="60" t="str">
        <v>0</v>
      </c>
      <c r="AR3" s="60" t="str">
        <v>","NumberDinghies":"0","DinghiesCovered":"0","DinghyCapacity" : "0","DinghyColor":"0"},"STS":"</v>
      </c>
      <c r="AS3" s="60">
        <v>0</v>
      </c>
      <c r="AT3" s="60" t="str">
        <v>",</v>
      </c>
      <c r="AU3" s="60">
        <v>0</v>
      </c>
      <c r="AV3" s="60">
        <v>0</v>
      </c>
      <c r="AW3" s="60">
        <v>0</v>
      </c>
      <c r="AX3" s="60">
        <v>0</v>
      </c>
      <c r="AY3" s="60" t="str">
        <v>"FuelCapacity":"</v>
      </c>
      <c r="AZ3" s="60">
        <v>0</v>
      </c>
      <c r="BA3" s="60">
        <v>0</v>
      </c>
      <c r="BB3" s="60">
        <v>6198</v>
      </c>
      <c r="BC3" s="60" t="str">
        <v>",</v>
      </c>
      <c r="BD3" s="60">
        <v>0</v>
      </c>
      <c r="BE3" s="60" t="str">
        <v>"ReserveFuel":"</v>
      </c>
      <c r="BF3" s="60">
        <v>520</v>
      </c>
      <c r="BG3" s="60" t="str">
        <v>"</v>
      </c>
      <c r="BH3" s="60">
        <v>0</v>
      </c>
      <c r="BI3" s="60" t="str">
        <v>,"FinalReserveTime":"</v>
      </c>
      <c r="BJ3" s="60">
        <v>30</v>
      </c>
      <c r="BK3" s="60" t="str">
        <v>","ContingencyReserveFuel":"</v>
      </c>
      <c r="BL3" s="60">
        <v>10</v>
      </c>
      <c r="BM3" s="60" t="str">
        <v>","ContingencyFuelMinimum":"</v>
      </c>
      <c r="BN3" s="60">
        <v>0</v>
      </c>
      <c r="BO3" s="60" t="str">
        <v>","TaxiFuel":"</v>
      </c>
      <c r="BP3" s="60">
        <v>150</v>
      </c>
      <c r="BQ3" s="60" t="str">
        <v>","ClimbBurn":"</v>
      </c>
      <c r="BR3" s="60">
        <v>2000</v>
      </c>
      <c r="BS3" s="60" t="str">
        <v>","AWKBurn":"</v>
      </c>
      <c r="BT3" s="60" t="str">
        <v>1500</v>
      </c>
      <c r="BU3" s="60" t="str">
        <v>","HoverBurn":"</v>
      </c>
      <c r="BV3" s="60">
        <v>1040</v>
      </c>
      <c r="BW3" s="60" t="str">
        <v>","HoldingTas":"</v>
      </c>
      <c r="BX3" s="60" t="str">
        <v>200</v>
      </c>
      <c r="BY3" s="60" t="str">
        <v>","PlannedTas":"</v>
      </c>
      <c r="BZ3" s="60">
        <v>430</v>
      </c>
      <c r="CA3" s="60" t="str">
        <v>","ClimbTas":"</v>
      </c>
      <c r="CB3" s="60">
        <v>400</v>
      </c>
      <c r="CC3" s="60" t="str">
        <v>","CruiseTas":"</v>
      </c>
      <c r="CD3" s="60">
        <v>0</v>
      </c>
      <c r="CE3" s="60" t="str">
        <v>","GlideTas":"</v>
      </c>
      <c r="CF3" s="60">
        <v>200</v>
      </c>
      <c r="CG3" s="60" t="str">
        <v>","DescentTas":"</v>
      </c>
      <c r="CH3" s="60">
        <v>300</v>
      </c>
      <c r="CI3" s="60" t="str">
        <v>","LoiterTas":"</v>
      </c>
      <c r="CJ3" s="60">
        <v>200</v>
      </c>
      <c r="CK3" s="60" t="str">
        <v>","DescentRate":"</v>
      </c>
      <c r="CL3" s="60">
        <v>2000</v>
      </c>
      <c r="CM3" s="60" t="str">
        <v>","ClimbRate":"</v>
      </c>
      <c r="CN3" s="60">
        <v>2000</v>
      </c>
      <c r="CO3" s="60" t="str">
        <v>","GlideRatio":"</v>
      </c>
      <c r="CP3" s="60">
        <v>10</v>
      </c>
      <c r="CQ3" s="60" t="str">
        <v>","ServiceCeiling":"</v>
      </c>
      <c r="CR3" s="60">
        <v>45000</v>
      </c>
      <c r="CS3" s="60" t="str">
        <v>"},</v>
      </c>
      <c r="CT3" s="60">
        <v>0</v>
      </c>
      <c r="CU3" s="60">
        <v>0</v>
      </c>
      <c r="CV3" s="60">
        <v>0</v>
      </c>
      <c r="CW3" s="60">
        <v>0</v>
      </c>
      <c r="CX3" s="60">
        <v>0</v>
      </c>
      <c r="CY3" s="60">
        <v>0</v>
      </c>
      <c r="CZ3" s="60">
        <v>0</v>
      </c>
      <c r="DA3" s="60">
        <v>0</v>
      </c>
      <c r="DB3" s="60">
        <v>0</v>
      </c>
      <c r="DC3" s="60">
        <v>0</v>
      </c>
      <c r="DD3" s="60">
        <v>0</v>
      </c>
      <c r="DE3" s="60">
        <v>0</v>
      </c>
      <c r="DF3" s="60">
        <v>0</v>
      </c>
      <c r="DG3" s="60">
        <v>0</v>
      </c>
    </row>
    <row r="4" spans="1:111">
      <c r="A4" s="24" t="s">
        <v>21</v>
      </c>
      <c r="B4" s="14" t="str" cm="1">
        <f t="array" ref="B4">INDEX(value1,,MATCH(A4,title1,))</f>
        <v>","Performance":"</v>
      </c>
      <c r="C4" s="14"/>
      <c r="D4" s="14"/>
      <c r="E4" s="14"/>
      <c r="F4" s="14"/>
      <c r="G4" s="14"/>
      <c r="H4" s="15"/>
      <c r="I4" s="14"/>
      <c r="J4" s="14"/>
      <c r="K4" s="16"/>
      <c r="M4" s="98"/>
      <c r="AO4" s="1"/>
    </row>
    <row r="5" spans="1:111">
      <c r="A5" s="24" t="s">
        <v>15</v>
      </c>
      <c r="B5" s="14" t="e" cm="1">
        <f t="array" ref="B5">INDEX(value1,,MATCH(A5,title1,))</f>
        <v>#N/A</v>
      </c>
      <c r="C5" s="14"/>
      <c r="D5" s="14"/>
      <c r="E5" s="14"/>
      <c r="F5" s="14"/>
      <c r="G5" s="14"/>
      <c r="H5" s="15"/>
      <c r="I5" s="14"/>
      <c r="J5" s="14"/>
      <c r="K5" s="16"/>
      <c r="M5" s="98"/>
    </row>
    <row r="6" spans="1:111">
      <c r="A6" s="24"/>
      <c r="B6" s="14"/>
      <c r="C6" s="14"/>
      <c r="D6" s="14"/>
      <c r="E6" s="14"/>
      <c r="F6" s="14"/>
      <c r="G6" s="14"/>
      <c r="H6" s="15"/>
      <c r="I6" s="14"/>
      <c r="J6" s="14"/>
      <c r="K6" s="16"/>
      <c r="M6" s="98"/>
    </row>
    <row r="7" spans="1:111">
      <c r="A7" s="24"/>
      <c r="B7" s="14"/>
      <c r="C7" s="14"/>
      <c r="D7" s="14"/>
      <c r="E7" s="14"/>
      <c r="F7" s="14"/>
      <c r="G7" s="14"/>
      <c r="H7" s="15"/>
      <c r="I7" s="14"/>
      <c r="J7" s="14"/>
      <c r="K7" s="16"/>
      <c r="M7" s="98"/>
    </row>
    <row r="8" spans="1:111" s="2" customFormat="1" ht="63" customHeight="1">
      <c r="A8" s="21" t="s">
        <v>22</v>
      </c>
      <c r="B8" s="22"/>
      <c r="C8" s="22" t="s">
        <v>23</v>
      </c>
      <c r="D8" s="22" t="s">
        <v>24</v>
      </c>
      <c r="E8" s="22" t="s">
        <v>25</v>
      </c>
      <c r="F8" s="22" t="s">
        <v>26</v>
      </c>
      <c r="G8" s="22" t="s">
        <v>27</v>
      </c>
      <c r="H8" s="22" t="s">
        <v>28</v>
      </c>
      <c r="I8" s="22" t="s">
        <v>29</v>
      </c>
      <c r="J8" s="22"/>
      <c r="K8" s="23"/>
      <c r="M8" s="98"/>
      <c r="N8" s="2" t="s">
        <v>30</v>
      </c>
      <c r="O8" s="2" t="s">
        <v>31</v>
      </c>
      <c r="AB8" s="2" t="s">
        <v>32</v>
      </c>
      <c r="AD8" s="2" t="s">
        <v>33</v>
      </c>
      <c r="AF8" s="2" t="s">
        <v>34</v>
      </c>
      <c r="AH8" s="2" t="s">
        <v>35</v>
      </c>
      <c r="AJ8" s="2" t="s">
        <v>36</v>
      </c>
      <c r="AL8" s="2" t="s">
        <v>37</v>
      </c>
      <c r="AN8" s="2" t="s">
        <v>38</v>
      </c>
      <c r="AP8" s="2" t="s">
        <v>39</v>
      </c>
      <c r="AR8" s="2" t="s">
        <v>40</v>
      </c>
      <c r="AT8" s="2" t="s">
        <v>41</v>
      </c>
      <c r="AV8" s="2" t="s">
        <v>42</v>
      </c>
      <c r="AX8" s="2" t="s">
        <v>43</v>
      </c>
      <c r="AZ8" s="2" t="s">
        <v>44</v>
      </c>
      <c r="BB8" s="2" t="s">
        <v>45</v>
      </c>
      <c r="BD8" s="2" t="s">
        <v>46</v>
      </c>
      <c r="BF8" s="2" t="s">
        <v>47</v>
      </c>
      <c r="BH8" s="2" t="s">
        <v>48</v>
      </c>
      <c r="BJ8" s="2" t="s">
        <v>49</v>
      </c>
      <c r="BL8" s="2" t="s">
        <v>50</v>
      </c>
      <c r="BO8" s="2" t="s">
        <v>26</v>
      </c>
      <c r="BQ8" s="2" t="s">
        <v>51</v>
      </c>
      <c r="BS8" s="2" t="s">
        <v>52</v>
      </c>
      <c r="BU8" s="2" t="s">
        <v>53</v>
      </c>
      <c r="BW8" s="2" t="s">
        <v>54</v>
      </c>
      <c r="BY8" s="2" t="s">
        <v>55</v>
      </c>
      <c r="CA8" s="2" t="s">
        <v>56</v>
      </c>
      <c r="CC8" s="2" t="s">
        <v>57</v>
      </c>
      <c r="CE8" s="2" t="s">
        <v>58</v>
      </c>
      <c r="CG8" s="2" t="s">
        <v>59</v>
      </c>
      <c r="CI8" s="2" t="s">
        <v>60</v>
      </c>
      <c r="CK8" s="2" t="s">
        <v>61</v>
      </c>
      <c r="CM8" s="2" t="s">
        <v>62</v>
      </c>
      <c r="CO8" s="2" t="s">
        <v>63</v>
      </c>
      <c r="CQ8" s="2" t="s">
        <v>64</v>
      </c>
      <c r="CS8" s="2" t="s">
        <v>65</v>
      </c>
      <c r="CU8" s="2" t="s">
        <v>66</v>
      </c>
      <c r="CW8" s="2" t="s">
        <v>67</v>
      </c>
      <c r="CY8" s="2" t="s">
        <v>68</v>
      </c>
    </row>
    <row r="9" spans="1:111" s="62" customFormat="1">
      <c r="A9" s="70" t="s">
        <v>69</v>
      </c>
      <c r="B9" s="69" t="e">
        <f>IF(C9&lt;&gt;"","YES","NO")</f>
        <v>#N/A</v>
      </c>
      <c r="C9" s="69" t="e">
        <f>IF((INDEX(value1,MATCH(A9,title2,0)))=0,"",(INDEX(value1,MATCH(A9,title2,0))))</f>
        <v>#N/A</v>
      </c>
      <c r="D9" s="69">
        <v>1</v>
      </c>
      <c r="E9" s="71" t="e">
        <f>IF(AND(B9="YES",D9=1),1,0)</f>
        <v>#N/A</v>
      </c>
      <c r="F9" s="71" t="s">
        <v>70</v>
      </c>
      <c r="G9" s="69">
        <v>1</v>
      </c>
      <c r="H9" s="69" t="str">
        <f>AO3</f>
        <v>FG</v>
      </c>
      <c r="I9" s="69" t="str">
        <f>$AL$3</f>
        <v>","EquipmentInformation":"</v>
      </c>
      <c r="J9" s="69"/>
      <c r="K9" s="72"/>
      <c r="M9" s="98"/>
      <c r="N9" s="62" t="e">
        <f>$B$2&amp;"  VH"&amp;$B$1&amp;" "&amp;A9&amp;" "&amp;$A$5&amp;$B$5</f>
        <v>#N/A</v>
      </c>
      <c r="O9" s="62" t="e">
        <f>_xlfn.CONCAT(P9:DD9)</f>
        <v>#N/A</v>
      </c>
      <c r="P9" s="62" t="s">
        <v>71</v>
      </c>
      <c r="Q9" s="62" t="s">
        <v>72</v>
      </c>
      <c r="R9" s="62" t="e">
        <f>C9</f>
        <v>#N/A</v>
      </c>
      <c r="S9" s="62" t="s">
        <v>73</v>
      </c>
      <c r="T9" s="62" t="e">
        <f>$B$1&amp;" "&amp;A9&amp;" AL"&amp;$B$5</f>
        <v>#N/A</v>
      </c>
      <c r="U9" s="62" t="s">
        <v>74</v>
      </c>
      <c r="V9" s="62" t="str">
        <f>$B$2</f>
        <v>EB1</v>
      </c>
      <c r="W9" s="62" t="s">
        <v>75</v>
      </c>
      <c r="X9" s="62" t="str">
        <f>$B$3</f>
        <v>L35</v>
      </c>
      <c r="Y9" s="62" t="s">
        <v>76</v>
      </c>
      <c r="Z9" s="62" t="str">
        <f>$B$4</f>
        <v>","Performance":"</v>
      </c>
      <c r="AA9" s="62" t="s">
        <v>77</v>
      </c>
      <c r="AB9" s="60" t="str" cm="1">
        <f t="array" ref="AB9">INDEX(value1,,MATCH(AB$8,title1,))</f>
        <v>"Equipment" : {"SurveillanceEquipment":"</v>
      </c>
      <c r="AC9" s="62" t="s">
        <v>78</v>
      </c>
      <c r="AD9" s="60" t="str" cm="1">
        <f t="array" ref="AD9">INDEX(value1,,MATCH(AD$8,title1,))</f>
        <v>","Manufacturer":"</v>
      </c>
      <c r="AE9" s="62" t="s">
        <v>79</v>
      </c>
      <c r="AF9" s="60" t="str" cm="1">
        <f t="array" ref="AF9">INDEX(value1,,MATCH(AF$8,title1,))</f>
        <v>C</v>
      </c>
      <c r="AG9" s="62" t="s">
        <v>80</v>
      </c>
      <c r="AH9" s="60" t="str" cm="1">
        <f t="array" ref="AH9">INDEX(value1,,MATCH(AH$8,title1,))</f>
        <v>","Color":"</v>
      </c>
      <c r="AI9" s="62" t="s">
        <v>81</v>
      </c>
      <c r="AJ9" s="60" t="str" cm="1">
        <f t="array" ref="AJ9">INDEX(value1,,MATCH(AJ$8,title1,))</f>
        <v>Bombardier</v>
      </c>
      <c r="AK9" s="62" t="s">
        <v>82</v>
      </c>
      <c r="AL9" s="60" t="str" cm="1">
        <f t="array" ref="AL9">INDEX(value1,,MATCH(AL$8,title1,))</f>
        <v>M</v>
      </c>
      <c r="AM9" s="62" t="s">
        <v>83</v>
      </c>
      <c r="AN9" s="60" t="str" cm="1">
        <f t="array" ref="AN9">INDEX(value1,,MATCH(AN$8,title1,))</f>
        <v>","profiles":[],</v>
      </c>
      <c r="AO9" s="62" t="s">
        <v>84</v>
      </c>
      <c r="AP9" s="60" t="str" cm="1">
        <f t="array" ref="AP9">INDEX(value1,,MATCH(AP$8,title1,))</f>
        <v>White</v>
      </c>
      <c r="AQ9" s="62" t="s">
        <v>85</v>
      </c>
      <c r="AR9" s="60" t="str" cm="1">
        <f t="array" ref="AR9">INDEX(value1,,MATCH(AR$8,title1,))</f>
        <v>"Engines":[],"Engine":"",</v>
      </c>
      <c r="AS9" s="62" t="s">
        <v>86</v>
      </c>
      <c r="AT9" s="60" cm="1">
        <f t="array" ref="AT9">INDEX(value1,,MATCH(AT$8,title1,))</f>
        <v>0</v>
      </c>
      <c r="AU9" s="62" t="s">
        <v>87</v>
      </c>
      <c r="AV9" s="60" cm="1">
        <f t="array" ref="AV9">INDEX(value1,,MATCH(AV$8,title1,))</f>
        <v>0</v>
      </c>
      <c r="AW9" s="62" t="s">
        <v>88</v>
      </c>
      <c r="AX9" s="60" t="str" cm="1">
        <f t="array" ref="AX9">INDEX(value1,,MATCH(AX$8,title1,))</f>
        <v>",</v>
      </c>
      <c r="AY9" s="62" t="s">
        <v>89</v>
      </c>
      <c r="AZ9" s="60" t="str" cm="1">
        <f t="array" ref="AZ9">INDEX(value1,,MATCH(AZ$8,title1,))</f>
        <v>",</v>
      </c>
      <c r="BA9" s="62" t="s">
        <v>90</v>
      </c>
      <c r="BB9" s="60" cm="1">
        <f t="array" ref="BB9">INDEX(value1,,MATCH(BB$8,title1,))</f>
        <v>0</v>
      </c>
      <c r="BC9" s="62" t="s">
        <v>91</v>
      </c>
      <c r="BD9" s="60" t="str" cm="1">
        <f t="array" ref="BD9">INDEX(value1,,MATCH(BD$8,title1,))</f>
        <v>A1O2S1</v>
      </c>
      <c r="BE9" s="62" t="s">
        <v>92</v>
      </c>
      <c r="BF9" s="60" t="str" cm="1">
        <f t="array" ref="BF9">INDEX(value1,,MATCH(BF$8,title1,))</f>
        <v>"ReserveFuel":"</v>
      </c>
      <c r="BG9" s="62" t="s">
        <v>93</v>
      </c>
      <c r="BH9" s="60" t="str" cm="1">
        <f t="array" ref="BH9">INDEX(value1,,MATCH(BH$8,title1,))</f>
        <v>,"FinalReserveTime":"</v>
      </c>
      <c r="BI9" s="62" t="s">
        <v>94</v>
      </c>
      <c r="BJ9" s="60" cm="1">
        <f t="array" ref="BJ9">INDEX(value1,,MATCH(BJ$8,title1,))</f>
        <v>30</v>
      </c>
      <c r="BK9" s="62" t="s">
        <v>95</v>
      </c>
      <c r="BL9" s="60" t="str" cm="1">
        <f t="array" ref="BL9">INDEX(value1,,MATCH(BL$8,title1,))</f>
        <v>","WakeCategory":"</v>
      </c>
      <c r="BN9" s="62" t="s">
        <v>96</v>
      </c>
      <c r="BO9" s="62" t="str">
        <f>F9</f>
        <v>0</v>
      </c>
      <c r="BP9" s="62" t="s">
        <v>97</v>
      </c>
      <c r="BQ9" s="60" cm="1">
        <f t="array" ref="BQ9">INDEX(value1,,MATCH(BQ$8,title1,))</f>
        <v>6198</v>
      </c>
      <c r="BR9" s="62" t="s">
        <v>98</v>
      </c>
      <c r="BS9" s="60" cm="1">
        <f t="array" ref="BS9">INDEX(value1,,MATCH(BS$8,title1,))</f>
        <v>520</v>
      </c>
      <c r="BT9" s="62" t="s">
        <v>99</v>
      </c>
      <c r="BU9" s="60" t="str" cm="1">
        <f t="array" ref="BU9">INDEX(value1,,MATCH(BU$8,title1,))</f>
        <v>"</v>
      </c>
      <c r="BV9" s="62" t="s">
        <v>100</v>
      </c>
      <c r="BW9" s="60" t="str" cm="1">
        <f t="array" ref="BW9">INDEX(value1,,MATCH(BW$8,title1,))</f>
        <v>"FuelCapacity":"</v>
      </c>
      <c r="BX9" s="62" t="s">
        <v>101</v>
      </c>
      <c r="BY9" s="62" t="str">
        <f>H9</f>
        <v>FG</v>
      </c>
      <c r="BZ9" s="62" t="s">
        <v>102</v>
      </c>
      <c r="CA9" s="62">
        <f>G9</f>
        <v>1</v>
      </c>
      <c r="CB9" s="62" t="s">
        <v>103</v>
      </c>
      <c r="CC9" s="62" t="str">
        <f>I9</f>
        <v>","EquipmentInformation":"</v>
      </c>
      <c r="CD9" s="62" t="s">
        <v>104</v>
      </c>
      <c r="CE9" s="60" cm="1">
        <f t="array" ref="CE9">INDEX(value1,,MATCH(CE$8,title1,))</f>
        <v>0</v>
      </c>
      <c r="CF9" s="62" t="s">
        <v>105</v>
      </c>
      <c r="CG9" s="60" cm="1">
        <f t="array" ref="CG9">INDEX(value1,,MATCH(CG$8,title1,))</f>
        <v>0</v>
      </c>
      <c r="CH9" s="62" t="s">
        <v>106</v>
      </c>
      <c r="CI9" s="60" t="str" cm="1">
        <f t="array" ref="CI9">INDEX(value1,,MATCH(CI$8,title1,))</f>
        <v>","EmergencyRadio":"</v>
      </c>
      <c r="CJ9" s="62" t="s">
        <v>107</v>
      </c>
      <c r="CK9" s="60" t="str" cm="1">
        <f t="array" ref="CK9">INDEX(value1,,MATCH(CK$8,title1,))</f>
        <v>","NumberDinghies":"0","DinghiesCovered":"0","DinghyCapacity" : "0","DinghyColor":"0"},"STS":"</v>
      </c>
      <c r="CL9" s="62" t="s">
        <v>108</v>
      </c>
      <c r="CM9" s="60" cm="1">
        <f t="array" ref="CM9">INDEX(value1,,MATCH(CM$8,title1,))</f>
        <v>0</v>
      </c>
      <c r="CN9" s="62" t="s">
        <v>109</v>
      </c>
      <c r="CO9" s="60" t="str" cm="1">
        <f t="array" ref="CO9">INDEX(value1,,MATCH(CO$8,title1,))</f>
        <v>EB1</v>
      </c>
      <c r="CP9" s="62" t="s">
        <v>110</v>
      </c>
      <c r="CQ9" s="60" cm="1">
        <f t="array" ref="CQ9">INDEX(value1,,MATCH(CQ$8,title1,))</f>
        <v>0</v>
      </c>
      <c r="CR9" s="62" t="s">
        <v>111</v>
      </c>
      <c r="CS9" s="60" t="str" cm="1">
        <f t="array" ref="CS9">INDEX(value1,,MATCH(CS$8,title1,))</f>
        <v>","TaxiFuel":"</v>
      </c>
      <c r="CT9" s="62" t="s">
        <v>112</v>
      </c>
      <c r="CU9" s="60" cm="1">
        <f t="array" ref="CU9">INDEX(value1,,MATCH(CU$8,title1,))</f>
        <v>150</v>
      </c>
      <c r="CV9" s="62" t="s">
        <v>113</v>
      </c>
      <c r="CW9" s="60" t="str" cm="1">
        <f t="array" ref="CW9">INDEX(value1,,MATCH(CW$8,title1,))</f>
        <v>","ClimbBurn":"</v>
      </c>
      <c r="CX9" s="62" t="s">
        <v>114</v>
      </c>
      <c r="CY9" s="60" t="str" cm="1">
        <f t="array" ref="CY9">INDEX(value1,,MATCH(CY$8,title1,))</f>
        <v>","ContingencyReserveFuel":"</v>
      </c>
      <c r="CZ9" s="62" t="s">
        <v>115</v>
      </c>
      <c r="DB9" s="62" t="s">
        <v>116</v>
      </c>
      <c r="DC9" s="62" t="str">
        <f>IF(OR($B$2="LJ35",B2="LJ36"),Compiler!$B$1,IF($B$2="LJ60",Compiler!$B$79,IF($B$2="LJ31",Compiler!$B$53,IF($B$2="B200",Compiler!$B$105,Compiler!$B$105))))</f>
        <v>AircraftPerformance":[{}]</v>
      </c>
      <c r="DD9" s="62" t="s">
        <v>117</v>
      </c>
    </row>
    <row r="10" spans="1:111" s="62" customFormat="1">
      <c r="A10" s="70" t="s">
        <v>118</v>
      </c>
      <c r="B10" s="69" t="e">
        <f t="shared" ref="B10:B13" si="0">IF(C10&lt;&gt;"","YES","NO")</f>
        <v>#N/A</v>
      </c>
      <c r="C10" s="69" t="e">
        <f>IF((INDEX(value1,MATCH(A10,title2,0)))=0,"",(INDEX(value1,MATCH(A10,title2,0))))</f>
        <v>#N/A</v>
      </c>
      <c r="D10" s="69">
        <v>1</v>
      </c>
      <c r="E10" s="71" t="e">
        <f>IF(AND(B10="YES",D10=1),1,0)</f>
        <v>#N/A</v>
      </c>
      <c r="F10" s="71" t="s">
        <v>70</v>
      </c>
      <c r="G10" s="69">
        <v>1</v>
      </c>
      <c r="H10" s="69" t="str">
        <f>AO3</f>
        <v>FG</v>
      </c>
      <c r="I10" s="69" t="str">
        <f>$AL$3</f>
        <v>","EquipmentInformation":"</v>
      </c>
      <c r="J10" s="69"/>
      <c r="K10" s="72"/>
      <c r="M10" s="98"/>
      <c r="N10" s="62" t="e">
        <f t="shared" ref="N10:N13" si="1">$B$2&amp;"  VH"&amp;$B$1&amp;" "&amp;A10&amp;" "&amp;$A$5&amp;$B$5</f>
        <v>#N/A</v>
      </c>
      <c r="O10" s="62" t="e">
        <f t="shared" ref="O10:O13" si="2">_xlfn.CONCAT(P10:DD10)</f>
        <v>#N/A</v>
      </c>
      <c r="P10" s="62" t="s">
        <v>71</v>
      </c>
      <c r="Q10" s="62" t="s">
        <v>72</v>
      </c>
      <c r="R10" s="62" t="e">
        <f t="shared" ref="R10:R13" si="3">C10</f>
        <v>#N/A</v>
      </c>
      <c r="S10" s="62" t="s">
        <v>73</v>
      </c>
      <c r="T10" s="62" t="e">
        <f t="shared" ref="T10:T13" si="4">$B$1&amp;" "&amp;A10&amp;" AL"&amp;$B$5</f>
        <v>#N/A</v>
      </c>
      <c r="U10" s="62" t="s">
        <v>74</v>
      </c>
      <c r="V10" s="62" t="str">
        <f>$B$2</f>
        <v>EB1</v>
      </c>
      <c r="W10" s="62" t="s">
        <v>75</v>
      </c>
      <c r="X10" s="62" t="str">
        <f t="shared" ref="X10:X13" si="5">$B$3</f>
        <v>L35</v>
      </c>
      <c r="Y10" s="62" t="s">
        <v>76</v>
      </c>
      <c r="Z10" s="62" t="str">
        <f t="shared" ref="Z10:Z13" si="6">$B$4</f>
        <v>","Performance":"</v>
      </c>
      <c r="AA10" s="62" t="s">
        <v>77</v>
      </c>
      <c r="AB10" s="60" t="str" cm="1">
        <f t="array" ref="AB10">INDEX(value1,,MATCH(AB$8,title1,))</f>
        <v>"Equipment" : {"SurveillanceEquipment":"</v>
      </c>
      <c r="AC10" s="62" t="s">
        <v>78</v>
      </c>
      <c r="AD10" s="60" t="str" cm="1">
        <f t="array" ref="AD10">INDEX(value1,,MATCH(AD$8,title1,))</f>
        <v>","Manufacturer":"</v>
      </c>
      <c r="AE10" s="62" t="s">
        <v>79</v>
      </c>
      <c r="AF10" s="60" t="str" cm="1">
        <f t="array" ref="AF10">INDEX(value1,,MATCH(AF$8,title1,))</f>
        <v>C</v>
      </c>
      <c r="AG10" s="62" t="s">
        <v>80</v>
      </c>
      <c r="AH10" s="60" t="str" cm="1">
        <f t="array" ref="AH10">INDEX(value1,,MATCH(AH$8,title1,))</f>
        <v>","Color":"</v>
      </c>
      <c r="AI10" s="62" t="s">
        <v>81</v>
      </c>
      <c r="AJ10" s="60" t="str" cm="1">
        <f t="array" ref="AJ10">INDEX(value1,,MATCH(AJ$8,title1,))</f>
        <v>Bombardier</v>
      </c>
      <c r="AK10" s="62" t="s">
        <v>82</v>
      </c>
      <c r="AL10" s="60" t="str" cm="1">
        <f t="array" ref="AL10">INDEX(value1,,MATCH(AL$8,title1,))</f>
        <v>M</v>
      </c>
      <c r="AM10" s="62" t="s">
        <v>83</v>
      </c>
      <c r="AN10" s="60" t="str" cm="1">
        <f t="array" ref="AN10">INDEX(value1,,MATCH(AN$8,title1,))</f>
        <v>","profiles":[],</v>
      </c>
      <c r="AO10" s="62" t="s">
        <v>84</v>
      </c>
      <c r="AP10" s="60" t="str" cm="1">
        <f t="array" ref="AP10">INDEX(value1,,MATCH(AP$8,title1,))</f>
        <v>White</v>
      </c>
      <c r="AQ10" s="62" t="s">
        <v>85</v>
      </c>
      <c r="AR10" s="60" t="str" cm="1">
        <f t="array" ref="AR10">INDEX(value1,,MATCH(AR$8,title1,))</f>
        <v>"Engines":[],"Engine":"",</v>
      </c>
      <c r="AS10" s="62" t="s">
        <v>86</v>
      </c>
      <c r="AT10" s="60" cm="1">
        <f t="array" ref="AT10">INDEX(value1,,MATCH(AT$8,title1,))</f>
        <v>0</v>
      </c>
      <c r="AU10" s="62" t="s">
        <v>87</v>
      </c>
      <c r="AV10" s="60" cm="1">
        <f t="array" ref="AV10">INDEX(value1,,MATCH(AV$8,title1,))</f>
        <v>0</v>
      </c>
      <c r="AW10" s="62" t="s">
        <v>88</v>
      </c>
      <c r="AX10" s="60" t="str" cm="1">
        <f t="array" ref="AX10">INDEX(value1,,MATCH(AX$8,title1,))</f>
        <v>",</v>
      </c>
      <c r="AY10" s="62" t="s">
        <v>89</v>
      </c>
      <c r="AZ10" s="60" t="str" cm="1">
        <f t="array" ref="AZ10">INDEX(value1,,MATCH(AZ$8,title1,))</f>
        <v>",</v>
      </c>
      <c r="BA10" s="62" t="s">
        <v>90</v>
      </c>
      <c r="BB10" s="60" cm="1">
        <f t="array" ref="BB10">INDEX(value1,,MATCH(BB$8,title1,))</f>
        <v>0</v>
      </c>
      <c r="BC10" s="62" t="s">
        <v>91</v>
      </c>
      <c r="BD10" s="60" t="str" cm="1">
        <f t="array" ref="BD10">INDEX(value1,,MATCH(BD$8,title1,))</f>
        <v>A1O2S1</v>
      </c>
      <c r="BE10" s="62" t="s">
        <v>92</v>
      </c>
      <c r="BF10" s="60" t="str" cm="1">
        <f t="array" ref="BF10">INDEX(value1,,MATCH(BF$8,title1,))</f>
        <v>"ReserveFuel":"</v>
      </c>
      <c r="BG10" s="62" t="s">
        <v>93</v>
      </c>
      <c r="BH10" s="60" t="str" cm="1">
        <f t="array" ref="BH10">INDEX(value1,,MATCH(BH$8,title1,))</f>
        <v>,"FinalReserveTime":"</v>
      </c>
      <c r="BI10" s="62" t="s">
        <v>94</v>
      </c>
      <c r="BJ10" s="60" cm="1">
        <f t="array" ref="BJ10">INDEX(value1,,MATCH(BJ$8,title1,))</f>
        <v>30</v>
      </c>
      <c r="BK10" s="62" t="s">
        <v>95</v>
      </c>
      <c r="BL10" s="60" t="str" cm="1">
        <f t="array" ref="BL10">INDEX(value1,,MATCH(BL$8,title1,))</f>
        <v>","WakeCategory":"</v>
      </c>
      <c r="BN10" s="62" t="s">
        <v>96</v>
      </c>
      <c r="BO10" s="62" t="str">
        <f>F10</f>
        <v>0</v>
      </c>
      <c r="BP10" s="62" t="s">
        <v>97</v>
      </c>
      <c r="BQ10" s="60" cm="1">
        <f t="array" ref="BQ10">INDEX(value1,,MATCH(BQ$8,title1,))</f>
        <v>6198</v>
      </c>
      <c r="BR10" s="62" t="s">
        <v>98</v>
      </c>
      <c r="BS10" s="60" cm="1">
        <f t="array" ref="BS10">INDEX(value1,,MATCH(BS$8,title1,))</f>
        <v>520</v>
      </c>
      <c r="BT10" s="62" t="s">
        <v>99</v>
      </c>
      <c r="BU10" s="60" t="str" cm="1">
        <f t="array" ref="BU10">INDEX(value1,,MATCH(BU$8,title1,))</f>
        <v>"</v>
      </c>
      <c r="BV10" s="62" t="s">
        <v>100</v>
      </c>
      <c r="BW10" s="60" t="str" cm="1">
        <f t="array" ref="BW10">INDEX(value1,,MATCH(BW$8,title1,))</f>
        <v>"FuelCapacity":"</v>
      </c>
      <c r="BX10" s="62" t="s">
        <v>101</v>
      </c>
      <c r="BY10" s="62" t="str">
        <f>H10</f>
        <v>FG</v>
      </c>
      <c r="BZ10" s="62" t="s">
        <v>102</v>
      </c>
      <c r="CA10" s="62">
        <f>G10</f>
        <v>1</v>
      </c>
      <c r="CB10" s="62" t="s">
        <v>103</v>
      </c>
      <c r="CC10" s="62" t="str">
        <f>I10</f>
        <v>","EquipmentInformation":"</v>
      </c>
      <c r="CD10" s="62" t="s">
        <v>104</v>
      </c>
      <c r="CE10" s="60" cm="1">
        <f t="array" ref="CE10">INDEX(value1,,MATCH(CE$8,title1,))</f>
        <v>0</v>
      </c>
      <c r="CF10" s="62" t="s">
        <v>105</v>
      </c>
      <c r="CG10" s="60" cm="1">
        <f t="array" ref="CG10">INDEX(value1,,MATCH(CG$8,title1,))</f>
        <v>0</v>
      </c>
      <c r="CH10" s="62" t="s">
        <v>106</v>
      </c>
      <c r="CI10" s="60" t="str" cm="1">
        <f t="array" ref="CI10">INDEX(value1,,MATCH(CI$8,title1,))</f>
        <v>","EmergencyRadio":"</v>
      </c>
      <c r="CJ10" s="62" t="s">
        <v>107</v>
      </c>
      <c r="CK10" s="60" t="str" cm="1">
        <f t="array" ref="CK10">INDEX(value1,,MATCH(CK$8,title1,))</f>
        <v>","NumberDinghies":"0","DinghiesCovered":"0","DinghyCapacity" : "0","DinghyColor":"0"},"STS":"</v>
      </c>
      <c r="CL10" s="62" t="s">
        <v>108</v>
      </c>
      <c r="CM10" s="60" cm="1">
        <f t="array" ref="CM10">INDEX(value1,,MATCH(CM$8,title1,))</f>
        <v>0</v>
      </c>
      <c r="CN10" s="62" t="s">
        <v>109</v>
      </c>
      <c r="CO10" s="60" t="str" cm="1">
        <f t="array" ref="CO10">INDEX(value1,,MATCH(CO$8,title1,))</f>
        <v>EB1</v>
      </c>
      <c r="CP10" s="62" t="s">
        <v>110</v>
      </c>
      <c r="CQ10" s="60" cm="1">
        <f t="array" ref="CQ10">INDEX(value1,,MATCH(CQ$8,title1,))</f>
        <v>0</v>
      </c>
      <c r="CR10" s="62" t="s">
        <v>111</v>
      </c>
      <c r="CS10" s="60" t="str" cm="1">
        <f t="array" ref="CS10">INDEX(value1,,MATCH(CS$8,title1,))</f>
        <v>","TaxiFuel":"</v>
      </c>
      <c r="CT10" s="62" t="s">
        <v>112</v>
      </c>
      <c r="CU10" s="60" cm="1">
        <f t="array" ref="CU10">INDEX(value1,,MATCH(CU$8,title1,))</f>
        <v>150</v>
      </c>
      <c r="CV10" s="62" t="s">
        <v>113</v>
      </c>
      <c r="CW10" s="60" t="str" cm="1">
        <f t="array" ref="CW10">INDEX(value1,,MATCH(CW$8,title1,))</f>
        <v>","ClimbBurn":"</v>
      </c>
      <c r="CX10" s="62" t="s">
        <v>114</v>
      </c>
      <c r="CY10" s="60" t="str" cm="1">
        <f t="array" ref="CY10">INDEX(value1,,MATCH(CY$8,title1,))</f>
        <v>","ContingencyReserveFuel":"</v>
      </c>
      <c r="CZ10" s="62" t="s">
        <v>115</v>
      </c>
      <c r="DB10" s="62" t="s">
        <v>116</v>
      </c>
      <c r="DC10" s="62" t="str">
        <f>IF(OR($B$2="LJ35",B3="LJ36"),Compiler!$B$1,IF($B$2="LJ60",Compiler!$B$79,IF($B$2="LJ31",Compiler!$B$53,IF($B$2="B200",Compiler!$B$105,Compiler!$B$105))))</f>
        <v>AircraftPerformance":[{}]</v>
      </c>
      <c r="DD10" s="62" t="s">
        <v>117</v>
      </c>
    </row>
    <row r="11" spans="1:111" s="62" customFormat="1">
      <c r="A11" s="70" t="s">
        <v>119</v>
      </c>
      <c r="B11" s="69" t="e">
        <f t="shared" si="0"/>
        <v>#N/A</v>
      </c>
      <c r="C11" s="69" t="e">
        <f>IF((INDEX(value1,MATCH(A11,title2,0)))=0,"",(INDEX(value1,MATCH(A11,title2,0))))</f>
        <v>#N/A</v>
      </c>
      <c r="D11" s="69">
        <v>1</v>
      </c>
      <c r="E11" s="71" t="e">
        <f>IF(AND(B11="YES",D11=1),1,0)</f>
        <v>#N/A</v>
      </c>
      <c r="F11" s="71" t="s">
        <v>70</v>
      </c>
      <c r="G11" s="69">
        <v>1</v>
      </c>
      <c r="H11" s="69" t="str">
        <f>AP3</f>
        <v>","EmergencyRadio":"</v>
      </c>
      <c r="I11" s="69" t="str">
        <f>$AM$3</f>
        <v>SDFGHURZW</v>
      </c>
      <c r="J11" s="69"/>
      <c r="K11" s="72"/>
      <c r="M11" s="98"/>
      <c r="N11" s="62" t="e">
        <f t="shared" si="1"/>
        <v>#N/A</v>
      </c>
      <c r="O11" s="62" t="e">
        <f t="shared" si="2"/>
        <v>#N/A</v>
      </c>
      <c r="P11" s="62" t="s">
        <v>71</v>
      </c>
      <c r="Q11" s="62" t="s">
        <v>72</v>
      </c>
      <c r="R11" s="62" t="e">
        <f t="shared" si="3"/>
        <v>#N/A</v>
      </c>
      <c r="S11" s="62" t="s">
        <v>73</v>
      </c>
      <c r="T11" s="62" t="e">
        <f t="shared" si="4"/>
        <v>#N/A</v>
      </c>
      <c r="U11" s="62" t="s">
        <v>74</v>
      </c>
      <c r="V11" s="62" t="str">
        <f t="shared" ref="V11:V13" si="7">$B$2</f>
        <v>EB1</v>
      </c>
      <c r="W11" s="62" t="s">
        <v>75</v>
      </c>
      <c r="X11" s="62" t="str">
        <f t="shared" si="5"/>
        <v>L35</v>
      </c>
      <c r="Y11" s="62" t="s">
        <v>76</v>
      </c>
      <c r="Z11" s="62" t="str">
        <f t="shared" si="6"/>
        <v>","Performance":"</v>
      </c>
      <c r="AA11" s="62" t="s">
        <v>77</v>
      </c>
      <c r="AB11" s="60" t="str" cm="1">
        <f t="array" ref="AB11">INDEX(value1,,MATCH(AB$8,title1,))</f>
        <v>"Equipment" : {"SurveillanceEquipment":"</v>
      </c>
      <c r="AC11" s="62" t="s">
        <v>78</v>
      </c>
      <c r="AD11" s="60" t="str" cm="1">
        <f t="array" ref="AD11">INDEX(value1,,MATCH(AD$8,title1,))</f>
        <v>","Manufacturer":"</v>
      </c>
      <c r="AE11" s="62" t="s">
        <v>79</v>
      </c>
      <c r="AF11" s="60" t="str" cm="1">
        <f t="array" ref="AF11">INDEX(value1,,MATCH(AF$8,title1,))</f>
        <v>C</v>
      </c>
      <c r="AG11" s="62" t="s">
        <v>80</v>
      </c>
      <c r="AH11" s="60" t="str" cm="1">
        <f t="array" ref="AH11">INDEX(value1,,MATCH(AH$8,title1,))</f>
        <v>","Color":"</v>
      </c>
      <c r="AI11" s="62" t="s">
        <v>81</v>
      </c>
      <c r="AJ11" s="60" t="str" cm="1">
        <f t="array" ref="AJ11">INDEX(value1,,MATCH(AJ$8,title1,))</f>
        <v>Bombardier</v>
      </c>
      <c r="AK11" s="62" t="s">
        <v>82</v>
      </c>
      <c r="AL11" s="60" t="str" cm="1">
        <f t="array" ref="AL11">INDEX(value1,,MATCH(AL$8,title1,))</f>
        <v>M</v>
      </c>
      <c r="AM11" s="62" t="s">
        <v>83</v>
      </c>
      <c r="AN11" s="60" t="str" cm="1">
        <f t="array" ref="AN11">INDEX(value1,,MATCH(AN$8,title1,))</f>
        <v>","profiles":[],</v>
      </c>
      <c r="AO11" s="62" t="s">
        <v>84</v>
      </c>
      <c r="AP11" s="60" t="str" cm="1">
        <f t="array" ref="AP11">INDEX(value1,,MATCH(AP$8,title1,))</f>
        <v>White</v>
      </c>
      <c r="AQ11" s="62" t="s">
        <v>85</v>
      </c>
      <c r="AR11" s="60" t="str" cm="1">
        <f t="array" ref="AR11">INDEX(value1,,MATCH(AR$8,title1,))</f>
        <v>"Engines":[],"Engine":"",</v>
      </c>
      <c r="AS11" s="62" t="s">
        <v>86</v>
      </c>
      <c r="AT11" s="60" cm="1">
        <f t="array" ref="AT11">INDEX(value1,,MATCH(AT$8,title1,))</f>
        <v>0</v>
      </c>
      <c r="AU11" s="62" t="s">
        <v>87</v>
      </c>
      <c r="AV11" s="60" cm="1">
        <f t="array" ref="AV11">INDEX(value1,,MATCH(AV$8,title1,))</f>
        <v>0</v>
      </c>
      <c r="AW11" s="62" t="s">
        <v>88</v>
      </c>
      <c r="AX11" s="60" t="str" cm="1">
        <f t="array" ref="AX11">INDEX(value1,,MATCH(AX$8,title1,))</f>
        <v>",</v>
      </c>
      <c r="AY11" s="62" t="s">
        <v>89</v>
      </c>
      <c r="AZ11" s="60" t="str" cm="1">
        <f t="array" ref="AZ11">INDEX(value1,,MATCH(AZ$8,title1,))</f>
        <v>",</v>
      </c>
      <c r="BA11" s="62" t="s">
        <v>90</v>
      </c>
      <c r="BB11" s="60" cm="1">
        <f t="array" ref="BB11">INDEX(value1,,MATCH(BB$8,title1,))</f>
        <v>0</v>
      </c>
      <c r="BC11" s="62" t="s">
        <v>91</v>
      </c>
      <c r="BD11" s="60" t="str" cm="1">
        <f t="array" ref="BD11">INDEX(value1,,MATCH(BD$8,title1,))</f>
        <v>A1O2S1</v>
      </c>
      <c r="BE11" s="62" t="s">
        <v>92</v>
      </c>
      <c r="BF11" s="60" t="str" cm="1">
        <f t="array" ref="BF11">INDEX(value1,,MATCH(BF$8,title1,))</f>
        <v>"ReserveFuel":"</v>
      </c>
      <c r="BG11" s="62" t="s">
        <v>93</v>
      </c>
      <c r="BH11" s="60" t="str" cm="1">
        <f t="array" ref="BH11">INDEX(value1,,MATCH(BH$8,title1,))</f>
        <v>,"FinalReserveTime":"</v>
      </c>
      <c r="BI11" s="62" t="s">
        <v>94</v>
      </c>
      <c r="BJ11" s="60" cm="1">
        <f t="array" ref="BJ11">INDEX(value1,,MATCH(BJ$8,title1,))</f>
        <v>30</v>
      </c>
      <c r="BK11" s="62" t="s">
        <v>95</v>
      </c>
      <c r="BL11" s="60" t="str" cm="1">
        <f t="array" ref="BL11">INDEX(value1,,MATCH(BL$8,title1,))</f>
        <v>","WakeCategory":"</v>
      </c>
      <c r="BN11" s="62" t="s">
        <v>96</v>
      </c>
      <c r="BO11" s="62" t="str">
        <f>F11</f>
        <v>0</v>
      </c>
      <c r="BP11" s="62" t="s">
        <v>97</v>
      </c>
      <c r="BQ11" s="60" cm="1">
        <f t="array" ref="BQ11">INDEX(value1,,MATCH(BQ$8,title1,))</f>
        <v>6198</v>
      </c>
      <c r="BR11" s="62" t="s">
        <v>98</v>
      </c>
      <c r="BS11" s="60" cm="1">
        <f t="array" ref="BS11">INDEX(value1,,MATCH(BS$8,title1,))</f>
        <v>520</v>
      </c>
      <c r="BT11" s="62" t="s">
        <v>99</v>
      </c>
      <c r="BU11" s="60" t="str" cm="1">
        <f t="array" ref="BU11">INDEX(value1,,MATCH(BU$8,title1,))</f>
        <v>"</v>
      </c>
      <c r="BV11" s="62" t="s">
        <v>100</v>
      </c>
      <c r="BW11" s="60" t="str" cm="1">
        <f t="array" ref="BW11">INDEX(value1,,MATCH(BW$8,title1,))</f>
        <v>"FuelCapacity":"</v>
      </c>
      <c r="BX11" s="62" t="s">
        <v>101</v>
      </c>
      <c r="BY11" s="62" t="str">
        <f>H11</f>
        <v>","EmergencyRadio":"</v>
      </c>
      <c r="BZ11" s="62" t="s">
        <v>102</v>
      </c>
      <c r="CA11" s="62">
        <f>G11</f>
        <v>1</v>
      </c>
      <c r="CB11" s="62" t="s">
        <v>103</v>
      </c>
      <c r="CC11" s="62" t="str">
        <f>I11</f>
        <v>SDFGHURZW</v>
      </c>
      <c r="CD11" s="62" t="s">
        <v>104</v>
      </c>
      <c r="CE11" s="60" cm="1">
        <f t="array" ref="CE11">INDEX(value1,,MATCH(CE$8,title1,))</f>
        <v>0</v>
      </c>
      <c r="CF11" s="62" t="s">
        <v>105</v>
      </c>
      <c r="CG11" s="60" cm="1">
        <f t="array" ref="CG11">INDEX(value1,,MATCH(CG$8,title1,))</f>
        <v>0</v>
      </c>
      <c r="CH11" s="62" t="s">
        <v>106</v>
      </c>
      <c r="CI11" s="60" t="str" cm="1">
        <f t="array" ref="CI11">INDEX(value1,,MATCH(CI$8,title1,))</f>
        <v>","EmergencyRadio":"</v>
      </c>
      <c r="CJ11" s="62" t="s">
        <v>107</v>
      </c>
      <c r="CK11" s="60" t="str" cm="1">
        <f t="array" ref="CK11">INDEX(value1,,MATCH(CK$8,title1,))</f>
        <v>","NumberDinghies":"0","DinghiesCovered":"0","DinghyCapacity" : "0","DinghyColor":"0"},"STS":"</v>
      </c>
      <c r="CL11" s="62" t="s">
        <v>108</v>
      </c>
      <c r="CM11" s="60" cm="1">
        <f t="array" ref="CM11">INDEX(value1,,MATCH(CM$8,title1,))</f>
        <v>0</v>
      </c>
      <c r="CN11" s="62" t="s">
        <v>109</v>
      </c>
      <c r="CO11" s="60" t="str" cm="1">
        <f t="array" ref="CO11">INDEX(value1,,MATCH(CO$8,title1,))</f>
        <v>EB1</v>
      </c>
      <c r="CP11" s="62" t="s">
        <v>110</v>
      </c>
      <c r="CQ11" s="60" cm="1">
        <f t="array" ref="CQ11">INDEX(value1,,MATCH(CQ$8,title1,))</f>
        <v>0</v>
      </c>
      <c r="CR11" s="62" t="s">
        <v>111</v>
      </c>
      <c r="CS11" s="60" t="str" cm="1">
        <f t="array" ref="CS11">INDEX(value1,,MATCH(CS$8,title1,))</f>
        <v>","TaxiFuel":"</v>
      </c>
      <c r="CT11" s="62" t="s">
        <v>112</v>
      </c>
      <c r="CU11" s="60" cm="1">
        <f t="array" ref="CU11">INDEX(value1,,MATCH(CU$8,title1,))</f>
        <v>150</v>
      </c>
      <c r="CV11" s="62" t="s">
        <v>113</v>
      </c>
      <c r="CW11" s="60" t="str" cm="1">
        <f t="array" ref="CW11">INDEX(value1,,MATCH(CW$8,title1,))</f>
        <v>","ClimbBurn":"</v>
      </c>
      <c r="CX11" s="62" t="s">
        <v>114</v>
      </c>
      <c r="CY11" s="60" t="str" cm="1">
        <f t="array" ref="CY11">INDEX(value1,,MATCH(CY$8,title1,))</f>
        <v>","ContingencyReserveFuel":"</v>
      </c>
      <c r="CZ11" s="62" t="s">
        <v>115</v>
      </c>
      <c r="DB11" s="62" t="s">
        <v>116</v>
      </c>
      <c r="DC11" s="62" t="str">
        <f>IF(OR($B$2="LJ35",B4="LJ36"),Compiler!$B$1,IF($B$2="LJ60",Compiler!$B$79,IF($B$2="LJ31",Compiler!$B$53,IF($B$2="B200",Compiler!$B$105,Compiler!$B$105))))</f>
        <v>AircraftPerformance":[{}]</v>
      </c>
      <c r="DD11" s="62" t="s">
        <v>117</v>
      </c>
    </row>
    <row r="12" spans="1:111" s="62" customFormat="1">
      <c r="A12" s="70" t="s">
        <v>120</v>
      </c>
      <c r="B12" s="69" t="e">
        <f t="shared" si="0"/>
        <v>#N/A</v>
      </c>
      <c r="C12" s="69" t="e">
        <f>IF((INDEX(value1,MATCH(A12,title2,0)))=0,"",(INDEX(value1,MATCH(A12,title2,0))))</f>
        <v>#N/A</v>
      </c>
      <c r="D12" s="69">
        <v>1</v>
      </c>
      <c r="E12" s="71" t="e">
        <f>IF(AND(B12="YES",D12=1),1,0)</f>
        <v>#N/A</v>
      </c>
      <c r="F12" s="71" t="s">
        <v>70</v>
      </c>
      <c r="G12" s="69">
        <v>1</v>
      </c>
      <c r="H12" s="69" t="str">
        <f>AP3</f>
        <v>","EmergencyRadio":"</v>
      </c>
      <c r="I12" s="69" t="str">
        <f>$AM$3</f>
        <v>SDFGHURZW</v>
      </c>
      <c r="J12" s="69"/>
      <c r="K12" s="72"/>
      <c r="M12" s="98"/>
      <c r="N12" s="62" t="e">
        <f t="shared" si="1"/>
        <v>#N/A</v>
      </c>
      <c r="O12" s="62" t="e">
        <f t="shared" si="2"/>
        <v>#N/A</v>
      </c>
      <c r="P12" s="62" t="s">
        <v>71</v>
      </c>
      <c r="Q12" s="62" t="s">
        <v>72</v>
      </c>
      <c r="R12" s="62" t="e">
        <f t="shared" si="3"/>
        <v>#N/A</v>
      </c>
      <c r="S12" s="62" t="s">
        <v>73</v>
      </c>
      <c r="T12" s="62" t="e">
        <f t="shared" si="4"/>
        <v>#N/A</v>
      </c>
      <c r="U12" s="62" t="s">
        <v>74</v>
      </c>
      <c r="V12" s="62" t="str">
        <f t="shared" si="7"/>
        <v>EB1</v>
      </c>
      <c r="W12" s="62" t="s">
        <v>75</v>
      </c>
      <c r="X12" s="62" t="str">
        <f t="shared" si="5"/>
        <v>L35</v>
      </c>
      <c r="Y12" s="62" t="s">
        <v>76</v>
      </c>
      <c r="Z12" s="62" t="str">
        <f t="shared" si="6"/>
        <v>","Performance":"</v>
      </c>
      <c r="AA12" s="62" t="s">
        <v>77</v>
      </c>
      <c r="AB12" s="60" t="str" cm="1">
        <f t="array" ref="AB12">INDEX(value1,,MATCH(AB$8,title1,))</f>
        <v>"Equipment" : {"SurveillanceEquipment":"</v>
      </c>
      <c r="AC12" s="62" t="s">
        <v>78</v>
      </c>
      <c r="AD12" s="60" t="str" cm="1">
        <f t="array" ref="AD12">INDEX(value1,,MATCH(AD$8,title1,))</f>
        <v>","Manufacturer":"</v>
      </c>
      <c r="AE12" s="62" t="s">
        <v>79</v>
      </c>
      <c r="AF12" s="60" t="str" cm="1">
        <f t="array" ref="AF12">INDEX(value1,,MATCH(AF$8,title1,))</f>
        <v>C</v>
      </c>
      <c r="AG12" s="62" t="s">
        <v>80</v>
      </c>
      <c r="AH12" s="60" t="str" cm="1">
        <f t="array" ref="AH12">INDEX(value1,,MATCH(AH$8,title1,))</f>
        <v>","Color":"</v>
      </c>
      <c r="AI12" s="62" t="s">
        <v>81</v>
      </c>
      <c r="AJ12" s="60" t="str" cm="1">
        <f t="array" ref="AJ12">INDEX(value1,,MATCH(AJ$8,title1,))</f>
        <v>Bombardier</v>
      </c>
      <c r="AK12" s="62" t="s">
        <v>82</v>
      </c>
      <c r="AL12" s="60" t="str" cm="1">
        <f t="array" ref="AL12">INDEX(value1,,MATCH(AL$8,title1,))</f>
        <v>M</v>
      </c>
      <c r="AM12" s="62" t="s">
        <v>83</v>
      </c>
      <c r="AN12" s="60" t="str" cm="1">
        <f t="array" ref="AN12">INDEX(value1,,MATCH(AN$8,title1,))</f>
        <v>","profiles":[],</v>
      </c>
      <c r="AO12" s="62" t="s">
        <v>84</v>
      </c>
      <c r="AP12" s="60" t="str" cm="1">
        <f t="array" ref="AP12">INDEX(value1,,MATCH(AP$8,title1,))</f>
        <v>White</v>
      </c>
      <c r="AQ12" s="62" t="s">
        <v>85</v>
      </c>
      <c r="AR12" s="60" t="str" cm="1">
        <f t="array" ref="AR12">INDEX(value1,,MATCH(AR$8,title1,))</f>
        <v>"Engines":[],"Engine":"",</v>
      </c>
      <c r="AS12" s="62" t="s">
        <v>86</v>
      </c>
      <c r="AT12" s="60" cm="1">
        <f t="array" ref="AT12">INDEX(value1,,MATCH(AT$8,title1,))</f>
        <v>0</v>
      </c>
      <c r="AU12" s="62" t="s">
        <v>87</v>
      </c>
      <c r="AV12" s="60" cm="1">
        <f t="array" ref="AV12">INDEX(value1,,MATCH(AV$8,title1,))</f>
        <v>0</v>
      </c>
      <c r="AW12" s="62" t="s">
        <v>88</v>
      </c>
      <c r="AX12" s="60" t="str" cm="1">
        <f t="array" ref="AX12">INDEX(value1,,MATCH(AX$8,title1,))</f>
        <v>",</v>
      </c>
      <c r="AY12" s="62" t="s">
        <v>89</v>
      </c>
      <c r="AZ12" s="60" t="str" cm="1">
        <f t="array" ref="AZ12">INDEX(value1,,MATCH(AZ$8,title1,))</f>
        <v>",</v>
      </c>
      <c r="BA12" s="62" t="s">
        <v>90</v>
      </c>
      <c r="BB12" s="60" cm="1">
        <f t="array" ref="BB12">INDEX(value1,,MATCH(BB$8,title1,))</f>
        <v>0</v>
      </c>
      <c r="BC12" s="62" t="s">
        <v>91</v>
      </c>
      <c r="BD12" s="60" t="str" cm="1">
        <f t="array" ref="BD12">INDEX(value1,,MATCH(BD$8,title1,))</f>
        <v>A1O2S1</v>
      </c>
      <c r="BE12" s="62" t="s">
        <v>92</v>
      </c>
      <c r="BF12" s="60" t="str" cm="1">
        <f t="array" ref="BF12">INDEX(value1,,MATCH(BF$8,title1,))</f>
        <v>"ReserveFuel":"</v>
      </c>
      <c r="BG12" s="62" t="s">
        <v>93</v>
      </c>
      <c r="BH12" s="60" t="str" cm="1">
        <f t="array" ref="BH12">INDEX(value1,,MATCH(BH$8,title1,))</f>
        <v>,"FinalReserveTime":"</v>
      </c>
      <c r="BI12" s="62" t="s">
        <v>94</v>
      </c>
      <c r="BJ12" s="60" cm="1">
        <f t="array" ref="BJ12">INDEX(value1,,MATCH(BJ$8,title1,))</f>
        <v>30</v>
      </c>
      <c r="BK12" s="62" t="s">
        <v>95</v>
      </c>
      <c r="BL12" s="60" t="str" cm="1">
        <f t="array" ref="BL12">INDEX(value1,,MATCH(BL$8,title1,))</f>
        <v>","WakeCategory":"</v>
      </c>
      <c r="BM12" s="62" t="s">
        <v>121</v>
      </c>
      <c r="BN12" s="62" t="s">
        <v>96</v>
      </c>
      <c r="BO12" s="62" t="str">
        <f>F12</f>
        <v>0</v>
      </c>
      <c r="BP12" s="62" t="s">
        <v>97</v>
      </c>
      <c r="BQ12" s="60" cm="1">
        <f t="array" ref="BQ12">INDEX(value1,,MATCH(BQ$8,title1,))</f>
        <v>6198</v>
      </c>
      <c r="BR12" s="62" t="s">
        <v>98</v>
      </c>
      <c r="BS12" s="60" cm="1">
        <f t="array" ref="BS12">INDEX(value1,,MATCH(BS$8,title1,))</f>
        <v>520</v>
      </c>
      <c r="BT12" s="62" t="s">
        <v>99</v>
      </c>
      <c r="BU12" s="60" t="str" cm="1">
        <f t="array" ref="BU12">INDEX(value1,,MATCH(BU$8,title1,))</f>
        <v>"</v>
      </c>
      <c r="BV12" s="62" t="s">
        <v>100</v>
      </c>
      <c r="BW12" s="60" t="str" cm="1">
        <f t="array" ref="BW12">INDEX(value1,,MATCH(BW$8,title1,))</f>
        <v>"FuelCapacity":"</v>
      </c>
      <c r="BX12" s="62" t="s">
        <v>101</v>
      </c>
      <c r="BY12" s="62" t="str">
        <f>H12</f>
        <v>","EmergencyRadio":"</v>
      </c>
      <c r="BZ12" s="62" t="s">
        <v>102</v>
      </c>
      <c r="CA12" s="62">
        <f>G12</f>
        <v>1</v>
      </c>
      <c r="CB12" s="62" t="s">
        <v>103</v>
      </c>
      <c r="CC12" s="62" t="str">
        <f>I12</f>
        <v>SDFGHURZW</v>
      </c>
      <c r="CD12" s="62" t="s">
        <v>104</v>
      </c>
      <c r="CE12" s="60" cm="1">
        <f t="array" ref="CE12">INDEX(value1,,MATCH(CE$8,title1,))</f>
        <v>0</v>
      </c>
      <c r="CF12" s="62" t="s">
        <v>105</v>
      </c>
      <c r="CG12" s="60" cm="1">
        <f t="array" ref="CG12">INDEX(value1,,MATCH(CG$8,title1,))</f>
        <v>0</v>
      </c>
      <c r="CH12" s="62" t="s">
        <v>106</v>
      </c>
      <c r="CI12" s="60" t="str" cm="1">
        <f t="array" ref="CI12">INDEX(value1,,MATCH(CI$8,title1,))</f>
        <v>","EmergencyRadio":"</v>
      </c>
      <c r="CJ12" s="62" t="s">
        <v>107</v>
      </c>
      <c r="CK12" s="60" t="str" cm="1">
        <f t="array" ref="CK12">INDEX(value1,,MATCH(CK$8,title1,))</f>
        <v>","NumberDinghies":"0","DinghiesCovered":"0","DinghyCapacity" : "0","DinghyColor":"0"},"STS":"</v>
      </c>
      <c r="CL12" s="62" t="s">
        <v>108</v>
      </c>
      <c r="CM12" s="60" cm="1">
        <f t="array" ref="CM12">INDEX(value1,,MATCH(CM$8,title1,))</f>
        <v>0</v>
      </c>
      <c r="CN12" s="62" t="s">
        <v>109</v>
      </c>
      <c r="CO12" s="60" t="str" cm="1">
        <f t="array" ref="CO12">INDEX(value1,,MATCH(CO$8,title1,))</f>
        <v>EB1</v>
      </c>
      <c r="CP12" s="62" t="s">
        <v>110</v>
      </c>
      <c r="CQ12" s="60" cm="1">
        <f t="array" ref="CQ12">INDEX(value1,,MATCH(CQ$8,title1,))</f>
        <v>0</v>
      </c>
      <c r="CR12" s="62" t="s">
        <v>111</v>
      </c>
      <c r="CS12" s="60" t="str" cm="1">
        <f t="array" ref="CS12">INDEX(value1,,MATCH(CS$8,title1,))</f>
        <v>","TaxiFuel":"</v>
      </c>
      <c r="CT12" s="62" t="s">
        <v>112</v>
      </c>
      <c r="CU12" s="60" cm="1">
        <f t="array" ref="CU12">INDEX(value1,,MATCH(CU$8,title1,))</f>
        <v>150</v>
      </c>
      <c r="CV12" s="62" t="s">
        <v>113</v>
      </c>
      <c r="CW12" s="60" t="str" cm="1">
        <f t="array" ref="CW12">INDEX(value1,,MATCH(CW$8,title1,))</f>
        <v>","ClimbBurn":"</v>
      </c>
      <c r="CX12" s="62" t="s">
        <v>114</v>
      </c>
      <c r="CY12" s="60" t="str" cm="1">
        <f t="array" ref="CY12">INDEX(value1,,MATCH(CY$8,title1,))</f>
        <v>","ContingencyReserveFuel":"</v>
      </c>
      <c r="CZ12" s="62" t="s">
        <v>115</v>
      </c>
      <c r="DB12" s="62" t="s">
        <v>116</v>
      </c>
      <c r="DC12" s="62" t="e">
        <f>IF(OR($B$2="LJ35",B5="LJ36"),Compiler!$B$1,IF($B$2="LJ60",Compiler!$B$79,IF($B$2="LJ31",Compiler!$B$53,IF($B$2="B200",Compiler!$B$105,Compiler!$B$105))))</f>
        <v>#N/A</v>
      </c>
      <c r="DD12" s="62" t="s">
        <v>117</v>
      </c>
    </row>
    <row r="13" spans="1:111" s="62" customFormat="1">
      <c r="A13" s="70" t="s">
        <v>122</v>
      </c>
      <c r="B13" s="69" t="str">
        <f t="shared" si="0"/>
        <v>YES</v>
      </c>
      <c r="C13" s="69" t="str">
        <f>IF((INDEX(value1,MATCH(A13,title2,0)))=0,"",(INDEX(value1,MATCH(A13,title2,0))))</f>
        <v>32</v>
      </c>
      <c r="D13" s="69">
        <v>1</v>
      </c>
      <c r="E13" s="71">
        <f>IF(AND(B13="YES",D13=1),1,0)</f>
        <v>1</v>
      </c>
      <c r="F13" s="71" t="s">
        <v>70</v>
      </c>
      <c r="G13" s="69">
        <v>1</v>
      </c>
      <c r="H13" s="69" t="str">
        <f>AO3</f>
        <v>FG</v>
      </c>
      <c r="I13" s="69" t="str">
        <f>$AL$3</f>
        <v>","EquipmentInformation":"</v>
      </c>
      <c r="J13" s="69"/>
      <c r="K13" s="72"/>
      <c r="M13" s="98"/>
      <c r="N13" s="62" t="e">
        <f t="shared" si="1"/>
        <v>#N/A</v>
      </c>
      <c r="O13" s="62" t="e">
        <f t="shared" si="2"/>
        <v>#N/A</v>
      </c>
      <c r="P13" s="62" t="s">
        <v>71</v>
      </c>
      <c r="Q13" s="62" t="s">
        <v>72</v>
      </c>
      <c r="R13" s="62" t="str">
        <f t="shared" si="3"/>
        <v>32</v>
      </c>
      <c r="S13" s="62" t="s">
        <v>73</v>
      </c>
      <c r="T13" s="62" t="e">
        <f t="shared" si="4"/>
        <v>#N/A</v>
      </c>
      <c r="U13" s="62" t="s">
        <v>74</v>
      </c>
      <c r="V13" s="62" t="str">
        <f t="shared" si="7"/>
        <v>EB1</v>
      </c>
      <c r="W13" s="62" t="s">
        <v>75</v>
      </c>
      <c r="X13" s="62" t="str">
        <f t="shared" si="5"/>
        <v>L35</v>
      </c>
      <c r="Y13" s="62" t="s">
        <v>76</v>
      </c>
      <c r="Z13" s="62" t="str">
        <f t="shared" si="6"/>
        <v>","Performance":"</v>
      </c>
      <c r="AA13" s="62" t="s">
        <v>77</v>
      </c>
      <c r="AB13" s="60" t="str" cm="1">
        <f t="array" ref="AB13">INDEX(value1,,MATCH(AB$8,title1,))</f>
        <v>"Equipment" : {"SurveillanceEquipment":"</v>
      </c>
      <c r="AC13" s="62" t="s">
        <v>78</v>
      </c>
      <c r="AD13" s="60" t="str" cm="1">
        <f t="array" ref="AD13">INDEX(value1,,MATCH(AD$8,title1,))</f>
        <v>","Manufacturer":"</v>
      </c>
      <c r="AE13" s="62" t="s">
        <v>79</v>
      </c>
      <c r="AF13" s="60" t="str" cm="1">
        <f t="array" ref="AF13">INDEX(value1,,MATCH(AF$8,title1,))</f>
        <v>C</v>
      </c>
      <c r="AG13" s="62" t="s">
        <v>80</v>
      </c>
      <c r="AH13" s="60" t="str" cm="1">
        <f t="array" ref="AH13">INDEX(value1,,MATCH(AH$8,title1,))</f>
        <v>","Color":"</v>
      </c>
      <c r="AI13" s="62" t="s">
        <v>81</v>
      </c>
      <c r="AJ13" s="60" t="str" cm="1">
        <f t="array" ref="AJ13">INDEX(value1,,MATCH(AJ$8,title1,))</f>
        <v>Bombardier</v>
      </c>
      <c r="AK13" s="62" t="s">
        <v>82</v>
      </c>
      <c r="AL13" s="60" t="str" cm="1">
        <f t="array" ref="AL13">INDEX(value1,,MATCH(AL$8,title1,))</f>
        <v>M</v>
      </c>
      <c r="AM13" s="62" t="s">
        <v>83</v>
      </c>
      <c r="AN13" s="60" t="str" cm="1">
        <f t="array" ref="AN13">INDEX(value1,,MATCH(AN$8,title1,))</f>
        <v>","profiles":[],</v>
      </c>
      <c r="AO13" s="62" t="s">
        <v>84</v>
      </c>
      <c r="AP13" s="60" t="str" cm="1">
        <f t="array" ref="AP13">INDEX(value1,,MATCH(AP$8,title1,))</f>
        <v>White</v>
      </c>
      <c r="AQ13" s="62" t="s">
        <v>85</v>
      </c>
      <c r="AR13" s="60" t="str" cm="1">
        <f t="array" ref="AR13">INDEX(value1,,MATCH(AR$8,title1,))</f>
        <v>"Engines":[],"Engine":"",</v>
      </c>
      <c r="AS13" s="62" t="s">
        <v>86</v>
      </c>
      <c r="AT13" s="60" cm="1">
        <f t="array" ref="AT13">INDEX(value1,,MATCH(AT$8,title1,))</f>
        <v>0</v>
      </c>
      <c r="AU13" s="62" t="s">
        <v>87</v>
      </c>
      <c r="AV13" s="60" cm="1">
        <f t="array" ref="AV13">INDEX(value1,,MATCH(AV$8,title1,))</f>
        <v>0</v>
      </c>
      <c r="AW13" s="62" t="s">
        <v>88</v>
      </c>
      <c r="AX13" s="60" t="str" cm="1">
        <f t="array" ref="AX13">INDEX(value1,,MATCH(AX$8,title1,))</f>
        <v>",</v>
      </c>
      <c r="AY13" s="62" t="s">
        <v>89</v>
      </c>
      <c r="AZ13" s="60" t="str" cm="1">
        <f t="array" ref="AZ13">INDEX(value1,,MATCH(AZ$8,title1,))</f>
        <v>",</v>
      </c>
      <c r="BA13" s="62" t="s">
        <v>90</v>
      </c>
      <c r="BB13" s="60" cm="1">
        <f t="array" ref="BB13">INDEX(value1,,MATCH(BB$8,title1,))</f>
        <v>0</v>
      </c>
      <c r="BC13" s="62" t="s">
        <v>91</v>
      </c>
      <c r="BD13" s="60" t="str" cm="1">
        <f t="array" ref="BD13">INDEX(value1,,MATCH(BD$8,title1,))</f>
        <v>A1O2S1</v>
      </c>
      <c r="BE13" s="62" t="s">
        <v>92</v>
      </c>
      <c r="BF13" s="60" t="str" cm="1">
        <f t="array" ref="BF13">INDEX(value1,,MATCH(BF$8,title1,))</f>
        <v>"ReserveFuel":"</v>
      </c>
      <c r="BG13" s="62" t="s">
        <v>93</v>
      </c>
      <c r="BH13" s="60" t="str" cm="1">
        <f t="array" ref="BH13">INDEX(value1,,MATCH(BH$8,title1,))</f>
        <v>,"FinalReserveTime":"</v>
      </c>
      <c r="BI13" s="62" t="s">
        <v>94</v>
      </c>
      <c r="BJ13" s="60" cm="1">
        <f t="array" ref="BJ13">INDEX(value1,,MATCH(BJ$8,title1,))</f>
        <v>30</v>
      </c>
      <c r="BK13" s="62" t="s">
        <v>95</v>
      </c>
      <c r="BL13" s="60" t="str" cm="1">
        <f t="array" ref="BL13">INDEX(value1,,MATCH(BL$8,title1,))</f>
        <v>","WakeCategory":"</v>
      </c>
      <c r="BM13" s="62" t="s">
        <v>123</v>
      </c>
      <c r="BN13" s="62" t="s">
        <v>96</v>
      </c>
      <c r="BO13" s="62" t="str">
        <f>F13</f>
        <v>0</v>
      </c>
      <c r="BP13" s="62" t="s">
        <v>97</v>
      </c>
      <c r="BQ13" s="60" cm="1">
        <f t="array" ref="BQ13">INDEX(value1,,MATCH(BQ$8,title1,))</f>
        <v>6198</v>
      </c>
      <c r="BR13" s="62" t="s">
        <v>98</v>
      </c>
      <c r="BS13" s="60" cm="1">
        <f t="array" ref="BS13">INDEX(value1,,MATCH(BS$8,title1,))</f>
        <v>520</v>
      </c>
      <c r="BT13" s="62" t="s">
        <v>99</v>
      </c>
      <c r="BU13" s="60" t="str" cm="1">
        <f t="array" ref="BU13">INDEX(value1,,MATCH(BU$8,title1,))</f>
        <v>"</v>
      </c>
      <c r="BV13" s="62" t="s">
        <v>100</v>
      </c>
      <c r="BW13" s="60" t="str" cm="1">
        <f t="array" ref="BW13">INDEX(value1,,MATCH(BW$8,title1,))</f>
        <v>"FuelCapacity":"</v>
      </c>
      <c r="BX13" s="62" t="s">
        <v>101</v>
      </c>
      <c r="BY13" s="62" t="str">
        <f>H13</f>
        <v>FG</v>
      </c>
      <c r="BZ13" s="62" t="s">
        <v>102</v>
      </c>
      <c r="CA13" s="62">
        <f>G13</f>
        <v>1</v>
      </c>
      <c r="CB13" s="62" t="s">
        <v>103</v>
      </c>
      <c r="CC13" s="62" t="str">
        <f>I13</f>
        <v>","EquipmentInformation":"</v>
      </c>
      <c r="CD13" s="62" t="s">
        <v>104</v>
      </c>
      <c r="CE13" s="60" cm="1">
        <f t="array" ref="CE13">INDEX(value1,,MATCH(CE$8,title1,))</f>
        <v>0</v>
      </c>
      <c r="CF13" s="62" t="s">
        <v>105</v>
      </c>
      <c r="CG13" s="60" cm="1">
        <f t="array" ref="CG13">INDEX(value1,,MATCH(CG$8,title1,))</f>
        <v>0</v>
      </c>
      <c r="CH13" s="62" t="s">
        <v>106</v>
      </c>
      <c r="CI13" s="60" t="str" cm="1">
        <f t="array" ref="CI13">INDEX(value1,,MATCH(CI$8,title1,))</f>
        <v>","EmergencyRadio":"</v>
      </c>
      <c r="CJ13" s="62" t="s">
        <v>107</v>
      </c>
      <c r="CK13" s="60" t="str" cm="1">
        <f t="array" ref="CK13">INDEX(value1,,MATCH(CK$8,title1,))</f>
        <v>","NumberDinghies":"0","DinghiesCovered":"0","DinghyCapacity" : "0","DinghyColor":"0"},"STS":"</v>
      </c>
      <c r="CL13" s="62" t="s">
        <v>108</v>
      </c>
      <c r="CM13" s="60" cm="1">
        <f t="array" ref="CM13">INDEX(value1,,MATCH(CM$8,title1,))</f>
        <v>0</v>
      </c>
      <c r="CN13" s="62" t="s">
        <v>109</v>
      </c>
      <c r="CO13" s="60" t="str" cm="1">
        <f t="array" ref="CO13">INDEX(value1,,MATCH(CO$8,title1,))</f>
        <v>EB1</v>
      </c>
      <c r="CP13" s="62" t="s">
        <v>110</v>
      </c>
      <c r="CQ13" s="60" cm="1">
        <f t="array" ref="CQ13">INDEX(value1,,MATCH(CQ$8,title1,))</f>
        <v>0</v>
      </c>
      <c r="CR13" s="62" t="s">
        <v>111</v>
      </c>
      <c r="CS13" s="60" t="str" cm="1">
        <f t="array" ref="CS13">INDEX(value1,,MATCH(CS$8,title1,))</f>
        <v>","TaxiFuel":"</v>
      </c>
      <c r="CT13" s="62" t="s">
        <v>112</v>
      </c>
      <c r="CU13" s="60" cm="1">
        <f t="array" ref="CU13">INDEX(value1,,MATCH(CU$8,title1,))</f>
        <v>150</v>
      </c>
      <c r="CV13" s="62" t="s">
        <v>113</v>
      </c>
      <c r="CW13" s="60" t="str" cm="1">
        <f t="array" ref="CW13">INDEX(value1,,MATCH(CW$8,title1,))</f>
        <v>","ClimbBurn":"</v>
      </c>
      <c r="CX13" s="62" t="s">
        <v>114</v>
      </c>
      <c r="CY13" s="60" t="str" cm="1">
        <f t="array" ref="CY13">INDEX(value1,,MATCH(CY$8,title1,))</f>
        <v>","ContingencyReserveFuel":"</v>
      </c>
      <c r="CZ13" s="62" t="s">
        <v>115</v>
      </c>
      <c r="DB13" s="62" t="s">
        <v>116</v>
      </c>
      <c r="DC13" s="62" t="str">
        <f>IF(OR($B$2="LJ35",B6="LJ36"),Compiler!$B$1,IF($B$2="LJ60",Compiler!$B$79,IF($B$2="LJ31",Compiler!$B$53,IF($B$2="B200",Compiler!$B$105,Compiler!$B$105))))</f>
        <v>AircraftPerformance":[{}]</v>
      </c>
      <c r="DD13" s="62" t="s">
        <v>117</v>
      </c>
    </row>
    <row r="14" spans="1:111">
      <c r="A14" s="13"/>
      <c r="B14" s="14"/>
      <c r="C14" s="14"/>
      <c r="D14" s="14"/>
      <c r="E14" s="14"/>
      <c r="F14" s="14"/>
      <c r="G14" s="14"/>
      <c r="H14" s="15"/>
      <c r="I14" s="14"/>
      <c r="J14" s="14"/>
      <c r="K14" s="16"/>
      <c r="M14" s="98"/>
      <c r="O14" t="str">
        <f t="shared" ref="O14" si="8">_xlfn.CONCAT(P14:DZ14)</f>
        <v/>
      </c>
      <c r="CO14" s="9"/>
    </row>
    <row r="15" spans="1:111">
      <c r="A15" s="13"/>
      <c r="B15" s="14"/>
      <c r="C15" s="14"/>
      <c r="D15" s="14"/>
      <c r="E15" s="14"/>
      <c r="F15" s="14"/>
      <c r="G15" s="14"/>
      <c r="H15" s="15"/>
      <c r="I15" s="14"/>
      <c r="J15" s="14"/>
      <c r="K15" s="16"/>
      <c r="M15" s="98"/>
    </row>
    <row r="16" spans="1:111">
      <c r="A16" s="13"/>
      <c r="B16" s="14"/>
      <c r="C16" s="14"/>
      <c r="D16" s="14"/>
      <c r="E16" s="14"/>
      <c r="F16" s="14"/>
      <c r="G16" s="14"/>
      <c r="H16" s="15"/>
      <c r="I16" s="14"/>
      <c r="J16" s="14"/>
      <c r="K16" s="16"/>
      <c r="M16" s="98"/>
    </row>
    <row r="17" spans="1:15" ht="15.75" thickBot="1">
      <c r="A17" s="17"/>
      <c r="B17" s="18"/>
      <c r="C17" s="18"/>
      <c r="D17" s="18"/>
      <c r="E17" s="18"/>
      <c r="F17" s="18"/>
      <c r="G17" s="18"/>
      <c r="H17" s="19"/>
      <c r="I17" s="18"/>
      <c r="J17" s="18"/>
      <c r="K17" s="20"/>
      <c r="M17" s="98"/>
    </row>
    <row r="21" spans="1:15">
      <c r="O21" s="10"/>
    </row>
  </sheetData>
  <mergeCells count="1">
    <mergeCell ref="M1:M17"/>
  </mergeCells>
  <phoneticPr fontId="1" type="noConversion"/>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60" r:id="rId4" name="Button 36">
              <controlPr defaultSize="0" print="0" autoFill="0" autoPict="0" macro="[0]!CrText" altText="Create Profiles">
                <anchor moveWithCells="1" sizeWithCells="1">
                  <from>
                    <xdr:col>8</xdr:col>
                    <xdr:colOff>619125</xdr:colOff>
                    <xdr:row>7</xdr:row>
                    <xdr:rowOff>133350</xdr:rowOff>
                  </from>
                  <to>
                    <xdr:col>10</xdr:col>
                    <xdr:colOff>676275</xdr:colOff>
                    <xdr:row>7</xdr:row>
                    <xdr:rowOff>742950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EE85AFB5-6BEF-47BE-B88D-369E9AC9F35B}">
          <x14:formula1>
            <xm:f>'Aircraft Data'!$D$4:$D$23</xm:f>
          </x14:formula1>
          <xm:sqref>B1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EEA-DC2E-4473-BE60-A01CFEB87886}">
  <sheetPr codeName="Sheet3">
    <pageSetUpPr fitToPage="1"/>
  </sheetPr>
  <dimension ref="A1:CI30"/>
  <sheetViews>
    <sheetView tabSelected="1" topLeftCell="AH1" zoomScaleNormal="100" workbookViewId="0">
      <selection activeCell="AI17" sqref="AI17"/>
    </sheetView>
  </sheetViews>
  <sheetFormatPr defaultRowHeight="15"/>
  <cols>
    <col min="3" max="3" width="17.7109375" customWidth="1"/>
    <col min="4" max="4" width="17.7109375" style="1" customWidth="1"/>
    <col min="5" max="5" width="3.7109375" style="1" customWidth="1"/>
    <col min="6" max="6" width="20.85546875" style="1" customWidth="1"/>
    <col min="7" max="7" width="3.7109375" style="1" customWidth="1"/>
    <col min="8" max="14" width="17.7109375" style="1" customWidth="1"/>
    <col min="15" max="21" width="17.7109375" customWidth="1"/>
    <col min="22" max="22" width="17.7109375" style="1" customWidth="1"/>
    <col min="23" max="33" width="17.7109375" customWidth="1"/>
    <col min="34" max="34" width="104.28515625" customWidth="1"/>
    <col min="35" max="35" width="49.28515625" customWidth="1"/>
    <col min="36" max="91" width="17.7109375" customWidth="1"/>
  </cols>
  <sheetData>
    <row r="1" spans="1:87" s="26" customFormat="1" ht="136.5" customHeight="1">
      <c r="D1" s="26" t="s">
        <v>124</v>
      </c>
      <c r="I1" s="26" t="s">
        <v>19</v>
      </c>
      <c r="K1" s="26" t="s">
        <v>125</v>
      </c>
      <c r="M1" s="26" t="s">
        <v>126</v>
      </c>
      <c r="O1" s="26" t="s">
        <v>64</v>
      </c>
      <c r="Q1" s="26" t="s">
        <v>65</v>
      </c>
      <c r="S1" s="26" t="s">
        <v>66</v>
      </c>
      <c r="U1" s="26" t="s">
        <v>67</v>
      </c>
      <c r="X1" s="26" t="s">
        <v>21</v>
      </c>
      <c r="Y1" s="26" t="s">
        <v>34</v>
      </c>
      <c r="AA1" s="26" t="s">
        <v>35</v>
      </c>
      <c r="AC1" s="26" t="s">
        <v>39</v>
      </c>
      <c r="AD1" s="26" t="s">
        <v>641</v>
      </c>
      <c r="AE1" s="26" t="s">
        <v>33</v>
      </c>
      <c r="AF1" s="26" t="s">
        <v>642</v>
      </c>
      <c r="AG1" s="26" t="s">
        <v>36</v>
      </c>
      <c r="AI1" s="26" t="s">
        <v>50</v>
      </c>
      <c r="AJ1" s="26" t="s">
        <v>37</v>
      </c>
      <c r="AK1" s="26" t="s">
        <v>38</v>
      </c>
      <c r="AL1" s="26" t="s">
        <v>40</v>
      </c>
      <c r="AM1" s="26" t="s">
        <v>32</v>
      </c>
      <c r="AN1" s="26" t="s">
        <v>63</v>
      </c>
      <c r="AP1" s="26" t="s">
        <v>46</v>
      </c>
      <c r="AR1" s="26" t="s">
        <v>57</v>
      </c>
      <c r="AV1" s="26" t="s">
        <v>55</v>
      </c>
      <c r="AZ1" s="26" t="s">
        <v>60</v>
      </c>
      <c r="BB1" s="26" t="s">
        <v>127</v>
      </c>
      <c r="BD1" s="26" t="s">
        <v>61</v>
      </c>
      <c r="BF1" s="26" t="s">
        <v>62</v>
      </c>
      <c r="BH1" s="26" t="s">
        <v>43</v>
      </c>
      <c r="BI1" s="26" t="s">
        <v>59</v>
      </c>
      <c r="BJ1" s="26" t="s">
        <v>58</v>
      </c>
      <c r="BL1" s="26" t="s">
        <v>45</v>
      </c>
      <c r="BN1" s="26" t="s">
        <v>54</v>
      </c>
      <c r="BP1" s="26" t="s">
        <v>41</v>
      </c>
      <c r="BR1" s="26" t="s">
        <v>42</v>
      </c>
      <c r="BT1" s="26" t="s">
        <v>51</v>
      </c>
      <c r="BV1" s="26" t="s">
        <v>47</v>
      </c>
      <c r="BX1" s="26" t="s">
        <v>52</v>
      </c>
      <c r="BY1" s="26" t="s">
        <v>643</v>
      </c>
      <c r="BZ1" s="26" t="s">
        <v>53</v>
      </c>
      <c r="CB1" s="26" t="s">
        <v>44</v>
      </c>
      <c r="CD1" s="26" t="s">
        <v>48</v>
      </c>
      <c r="CF1" s="26" t="s">
        <v>49</v>
      </c>
      <c r="CH1" s="26" t="s">
        <v>68</v>
      </c>
    </row>
    <row r="2" spans="1:87" s="27" customFormat="1">
      <c r="W2" s="27" t="s">
        <v>122</v>
      </c>
      <c r="AR2" s="27" t="s">
        <v>128</v>
      </c>
      <c r="AT2" s="27" t="s">
        <v>129</v>
      </c>
      <c r="AV2" s="27" t="s">
        <v>128</v>
      </c>
      <c r="AX2" s="27" t="s">
        <v>129</v>
      </c>
    </row>
    <row r="3" spans="1:87" s="27" customFormat="1">
      <c r="A3" s="27" t="s">
        <v>644</v>
      </c>
    </row>
    <row r="4" spans="1:87" s="25" customFormat="1">
      <c r="A4" s="73" t="str">
        <f>_xlfn.CONCAT(B4:CI4)</f>
        <v>{"id":"SLD","type":0,"Code":"L35","serial":"145","deliniator":"14","Performance":"C","Color":"Grey","Manufacturer":"Bombardier","WakeCategory":"M","profiles":[],"Engines":[],"Engine":"","Equipment" : {"SurveillanceEquipment":"EB1","PBN":"A1O2S1","EquipmentInformation":"SDFGHURZW","SafetyEquipment":"FG","EmergencyRadio":"0","NumberDinghies":"0","DinghiesCovered":"0","DinghyCapacity" : "0","DinghyColor":"0"},"STS":"","FuelCapacity":"6238","ReserveFuel":"520","FinalReserveTime":"30","ContingencyReserveFuel":"10","ContingencyFuelMinimum":"0","TaxiFuel":"150","ClimbBurn":"2000","AWKBurn":"1500","HoverBurn":"1040","HoldingTas":"200","PlannedTas":"430","ClimbTas":"400","CruiseTas":"","GlideTas":"200","DescentTas":"300","LoiterTas":"200","DescentRate":"2000","ClimbRate":"2000","GlideRatio":"10","ServiceCeiling":"45000"},</v>
      </c>
      <c r="B4" s="25" t="s">
        <v>71</v>
      </c>
      <c r="C4" s="25" t="s">
        <v>646</v>
      </c>
      <c r="D4" s="25" t="s">
        <v>130</v>
      </c>
      <c r="E4" s="25" t="s">
        <v>645</v>
      </c>
      <c r="F4" s="25" t="s">
        <v>686</v>
      </c>
      <c r="G4" s="25" t="s">
        <v>70</v>
      </c>
      <c r="H4" s="25" t="s">
        <v>694</v>
      </c>
      <c r="I4" s="25" t="s">
        <v>131</v>
      </c>
      <c r="J4" s="25" t="s">
        <v>647</v>
      </c>
      <c r="K4" s="25">
        <v>145</v>
      </c>
      <c r="L4" s="25" t="s">
        <v>648</v>
      </c>
      <c r="M4" s="25" t="str">
        <f>LEFT(K4,2)</f>
        <v>14</v>
      </c>
      <c r="N4" s="25" t="s">
        <v>649</v>
      </c>
      <c r="O4" s="25" t="s">
        <v>136</v>
      </c>
      <c r="P4" s="25" t="s">
        <v>681</v>
      </c>
      <c r="Q4" s="25" t="s">
        <v>137</v>
      </c>
      <c r="R4" s="25" t="s">
        <v>650</v>
      </c>
      <c r="S4" s="25" t="s">
        <v>138</v>
      </c>
      <c r="T4" s="25" t="s">
        <v>651</v>
      </c>
      <c r="U4" s="25" t="s">
        <v>139</v>
      </c>
      <c r="V4" s="25" t="s">
        <v>652</v>
      </c>
      <c r="W4" s="25" t="s">
        <v>653</v>
      </c>
      <c r="X4" s="25" t="s">
        <v>654</v>
      </c>
      <c r="Y4" s="25" t="s">
        <v>132</v>
      </c>
      <c r="Z4" s="25" t="s">
        <v>655</v>
      </c>
      <c r="AA4" s="25" t="s">
        <v>133</v>
      </c>
      <c r="AB4" s="25" t="s">
        <v>656</v>
      </c>
      <c r="AC4" s="25" t="s">
        <v>134</v>
      </c>
      <c r="AD4" s="25" t="s">
        <v>657</v>
      </c>
      <c r="AE4" s="25" t="s">
        <v>135</v>
      </c>
      <c r="AF4" s="25" t="s">
        <v>658</v>
      </c>
      <c r="AG4" s="25" t="s">
        <v>70</v>
      </c>
      <c r="AH4" s="25" t="s">
        <v>659</v>
      </c>
      <c r="AJ4" s="25" t="s">
        <v>645</v>
      </c>
      <c r="AO4" s="25" t="s">
        <v>660</v>
      </c>
      <c r="AR4" s="25">
        <v>6238</v>
      </c>
      <c r="AS4" s="25" t="s">
        <v>645</v>
      </c>
      <c r="AU4" s="25" t="s">
        <v>661</v>
      </c>
      <c r="AV4" s="25">
        <v>520</v>
      </c>
      <c r="AW4" s="25" t="s">
        <v>116</v>
      </c>
      <c r="AY4" s="25" t="s">
        <v>662</v>
      </c>
      <c r="AZ4" s="25">
        <v>30</v>
      </c>
      <c r="BA4" s="25" t="s">
        <v>679</v>
      </c>
      <c r="BB4" s="25">
        <v>10</v>
      </c>
      <c r="BC4" s="25" t="s">
        <v>680</v>
      </c>
      <c r="BD4" s="25">
        <v>0</v>
      </c>
      <c r="BE4" s="25" t="s">
        <v>663</v>
      </c>
      <c r="BF4" s="25">
        <v>150</v>
      </c>
      <c r="BG4" s="25" t="s">
        <v>682</v>
      </c>
      <c r="BH4" s="25">
        <v>2000</v>
      </c>
      <c r="BI4" s="25" t="s">
        <v>664</v>
      </c>
      <c r="BJ4" s="25" t="s">
        <v>213</v>
      </c>
      <c r="BK4" s="25" t="s">
        <v>683</v>
      </c>
      <c r="BL4" s="25">
        <v>1040</v>
      </c>
      <c r="BM4" s="25" t="s">
        <v>666</v>
      </c>
      <c r="BN4" s="25" t="s">
        <v>665</v>
      </c>
      <c r="BO4" s="25" t="s">
        <v>667</v>
      </c>
      <c r="BP4" s="25">
        <v>430</v>
      </c>
      <c r="BQ4" s="25" t="s">
        <v>668</v>
      </c>
      <c r="BR4" s="25">
        <v>400</v>
      </c>
      <c r="BS4" s="25" t="s">
        <v>669</v>
      </c>
      <c r="BU4" s="25" t="s">
        <v>670</v>
      </c>
      <c r="BV4" s="25">
        <v>200</v>
      </c>
      <c r="BW4" s="25" t="s">
        <v>671</v>
      </c>
      <c r="BX4" s="25">
        <v>300</v>
      </c>
      <c r="BY4" s="25" t="s">
        <v>672</v>
      </c>
      <c r="BZ4" s="25">
        <v>200</v>
      </c>
      <c r="CA4" s="25" t="s">
        <v>673</v>
      </c>
      <c r="CB4" s="25">
        <v>2000</v>
      </c>
      <c r="CC4" s="25" t="s">
        <v>674</v>
      </c>
      <c r="CD4" s="25">
        <v>2000</v>
      </c>
      <c r="CE4" s="25" t="s">
        <v>675</v>
      </c>
      <c r="CF4" s="25">
        <v>10</v>
      </c>
      <c r="CG4" s="25" t="s">
        <v>676</v>
      </c>
      <c r="CH4" s="25">
        <v>45000</v>
      </c>
      <c r="CI4" s="25" t="s">
        <v>677</v>
      </c>
    </row>
    <row r="5" spans="1:87" s="25" customFormat="1">
      <c r="A5" s="73" t="str">
        <f>_xlfn.CONCAT(B5:CI5)</f>
        <v>{"id":"LRX","type":0,"Code":"L35","serial":"192","deliniator":"19","Performance":"C","Color":"White","Manufacturer":"Bombardier","WakeCategory":"M","profiles":[],"Engines":[],"Engine":"","Equipment" : {"SurveillanceEquipment":"EB1","PBN":"A1O2S1","EquipmentInformation":"SDFGHURZW","SafetyEquipment":"FG","EmergencyRadio":"0","NumberDinghies":"0","DinghiesCovered":"0","DinghyCapacity" : "0","DinghyColor":"0"},"STS":"","FuelCapacity":"6238","ReserveFuel":"520","FinalReserveTime":"30","ContingencyReserveFuel":"10","ContingencyFuelMinimum":"0","TaxiFuel":"150","ClimbBurn":"2000","AWKBurn":"1500","HoverBurn":"1040","HoldingTas":"200","PlannedTas":"430","ClimbTas":"400","CruiseTas":"","GlideTas":"200","DescentTas":"300","LoiterTas":"200","DescentRate":"2000","ClimbRate":"2000","GlideRatio":"10","ServiceCeiling":"45000"},</v>
      </c>
      <c r="B5" s="25" t="s">
        <v>71</v>
      </c>
      <c r="C5" s="25" t="str">
        <f>C4</f>
        <v>"id":"</v>
      </c>
      <c r="D5" s="25" t="s">
        <v>140</v>
      </c>
      <c r="E5" s="25" t="str">
        <f>E4</f>
        <v>",</v>
      </c>
      <c r="F5" s="25" t="str">
        <f>F4</f>
        <v>"type":</v>
      </c>
      <c r="G5" s="25" t="s">
        <v>70</v>
      </c>
      <c r="H5" s="25" t="str">
        <f>H4</f>
        <v>,"Code":"</v>
      </c>
      <c r="I5" s="25" t="s">
        <v>131</v>
      </c>
      <c r="J5" s="25" t="str">
        <f>J4</f>
        <v>","serial":"</v>
      </c>
      <c r="K5" s="25">
        <v>192</v>
      </c>
      <c r="L5" s="25" t="str">
        <f>L4</f>
        <v>","deliniator":"</v>
      </c>
      <c r="M5" s="25" t="str">
        <f t="shared" ref="M5:M21" si="0">LEFT(K5,2)</f>
        <v>19</v>
      </c>
      <c r="N5" s="25" t="str">
        <f>N4</f>
        <v>","Performance":"</v>
      </c>
      <c r="O5" s="25" t="s">
        <v>136</v>
      </c>
      <c r="P5" s="25" t="str">
        <f>P4</f>
        <v>","Color":"</v>
      </c>
      <c r="Q5" s="25" t="s">
        <v>141</v>
      </c>
      <c r="R5" s="25" t="str">
        <f>R4</f>
        <v>","Manufacturer":"</v>
      </c>
      <c r="S5" s="25" t="s">
        <v>138</v>
      </c>
      <c r="T5" s="25" t="str">
        <f>T4</f>
        <v>","WakeCategory":"</v>
      </c>
      <c r="U5" s="25" t="s">
        <v>139</v>
      </c>
      <c r="V5" s="25" t="str">
        <f>V4</f>
        <v>","profiles":[],</v>
      </c>
      <c r="W5" s="25" t="str">
        <f>W4</f>
        <v>"Engines":[],"Engine":"",</v>
      </c>
      <c r="X5" s="25" t="str">
        <f>X4</f>
        <v>"Equipment" : {"SurveillanceEquipment":"</v>
      </c>
      <c r="Y5" s="25" t="s">
        <v>132</v>
      </c>
      <c r="Z5" s="25" t="str">
        <f>Z4</f>
        <v>","PBN":"</v>
      </c>
      <c r="AA5" s="25" t="s">
        <v>133</v>
      </c>
      <c r="AB5" s="25" t="str">
        <f>AB4</f>
        <v>","EquipmentInformation":"</v>
      </c>
      <c r="AC5" s="25" t="s">
        <v>134</v>
      </c>
      <c r="AD5" s="25" t="str">
        <f>AD4</f>
        <v>","SafetyEquipment":"</v>
      </c>
      <c r="AE5" s="25" t="s">
        <v>135</v>
      </c>
      <c r="AF5" s="25" t="str">
        <f>AF4</f>
        <v>","EmergencyRadio":"</v>
      </c>
      <c r="AG5" s="25" t="str">
        <f>AG4</f>
        <v>0</v>
      </c>
      <c r="AH5" s="25" t="str">
        <f>AH4</f>
        <v>","NumberDinghies":"0","DinghiesCovered":"0","DinghyCapacity" : "0","DinghyColor":"0"},"STS":"</v>
      </c>
      <c r="AJ5" s="25" t="str">
        <f>AJ4</f>
        <v>",</v>
      </c>
      <c r="AO5" s="25" t="str">
        <f>AO4</f>
        <v>"FuelCapacity":"</v>
      </c>
      <c r="AR5" s="25">
        <v>6238</v>
      </c>
      <c r="AS5" s="25" t="str">
        <f>AS4</f>
        <v>",</v>
      </c>
      <c r="AU5" s="25" t="str">
        <f>AU4</f>
        <v>"ReserveFuel":"</v>
      </c>
      <c r="AV5" s="25">
        <v>520</v>
      </c>
      <c r="AW5" s="25" t="str">
        <f>AW4</f>
        <v>"</v>
      </c>
      <c r="AY5" s="25" t="str">
        <f>AY4</f>
        <v>,"FinalReserveTime":"</v>
      </c>
      <c r="AZ5" s="25">
        <v>30</v>
      </c>
      <c r="BA5" s="25" t="str">
        <f>BA4</f>
        <v>","ContingencyReserveFuel":"</v>
      </c>
      <c r="BB5" s="25">
        <v>10</v>
      </c>
      <c r="BC5" s="25" t="str">
        <f>BC4</f>
        <v>","ContingencyFuelMinimum":"</v>
      </c>
      <c r="BD5" s="25">
        <v>0</v>
      </c>
      <c r="BE5" s="25" t="str">
        <f>BE4</f>
        <v>","TaxiFuel":"</v>
      </c>
      <c r="BF5" s="25">
        <v>150</v>
      </c>
      <c r="BG5" s="25" t="str">
        <f>BG4</f>
        <v>","ClimbBurn":"</v>
      </c>
      <c r="BH5" s="25">
        <v>2000</v>
      </c>
      <c r="BI5" s="25" t="str">
        <f>BI4</f>
        <v>","AWKBurn":"</v>
      </c>
      <c r="BJ5" s="25" t="s">
        <v>213</v>
      </c>
      <c r="BK5" s="25" t="str">
        <f>BK4</f>
        <v>","HoverBurn":"</v>
      </c>
      <c r="BL5" s="25">
        <v>1040</v>
      </c>
      <c r="BM5" s="25" t="str">
        <f>BM4</f>
        <v>","HoldingTas":"</v>
      </c>
      <c r="BN5" s="25" t="s">
        <v>665</v>
      </c>
      <c r="BO5" s="25" t="str">
        <f>BO4</f>
        <v>","PlannedTas":"</v>
      </c>
      <c r="BP5" s="25">
        <v>430</v>
      </c>
      <c r="BQ5" s="25" t="str">
        <f>BQ4</f>
        <v>","ClimbTas":"</v>
      </c>
      <c r="BR5" s="25">
        <v>400</v>
      </c>
      <c r="BS5" s="25" t="str">
        <f>BS4</f>
        <v>","CruiseTas":"</v>
      </c>
      <c r="BU5" s="25" t="str">
        <f>BU4</f>
        <v>","GlideTas":"</v>
      </c>
      <c r="BV5" s="25">
        <v>200</v>
      </c>
      <c r="BW5" s="25" t="str">
        <f>BW4</f>
        <v>","DescentTas":"</v>
      </c>
      <c r="BX5" s="25">
        <v>300</v>
      </c>
      <c r="BY5" s="25" t="str">
        <f>BY4</f>
        <v>","LoiterTas":"</v>
      </c>
      <c r="BZ5" s="25">
        <v>200</v>
      </c>
      <c r="CA5" s="25" t="str">
        <f>CA4</f>
        <v>","DescentRate":"</v>
      </c>
      <c r="CB5" s="25">
        <v>2000</v>
      </c>
      <c r="CC5" s="25" t="str">
        <f>CC4</f>
        <v>","ClimbRate":"</v>
      </c>
      <c r="CD5" s="25">
        <v>2000</v>
      </c>
      <c r="CE5" s="25" t="str">
        <f>CE4</f>
        <v>","GlideRatio":"</v>
      </c>
      <c r="CF5" s="25">
        <v>10</v>
      </c>
      <c r="CG5" s="25" t="str">
        <f>CG4</f>
        <v>","ServiceCeiling":"</v>
      </c>
      <c r="CH5" s="25">
        <v>45000</v>
      </c>
      <c r="CI5" s="25" t="str">
        <f>CI4</f>
        <v>"},</v>
      </c>
    </row>
    <row r="6" spans="1:87" s="25" customFormat="1">
      <c r="A6" s="73" t="str">
        <f>_xlfn.CONCAT(B6:CI6)</f>
        <v>{"id":"LJQ","type":1,"Code":"L35","serial":"231","deliniator":"23","Performance":"C","Color":"White","Manufacturer":"Bombardier","WakeCategory":"M","profiles":[],"Engines":[],"Engine":"","Equipment" : {"SurveillanceEquipment":"EB1","PBN":"A1O2S1","EquipmentInformation":"SDFGHURZW","SafetyEquipment":"FG","EmergencyRadio":"0","NumberDinghies":"0","DinghiesCovered":"0","DinghyCapacity" : "0","DinghyColor":"0"},"STS":"","FuelCapacity":"6988","ReserveFuel":"520","FinalReserveTime":"30","ContingencyReserveFuel":"10","ContingencyFuelMinimum":"0","TaxiFuel":"150","ClimbBurn":"2000","AWKBurn":"1500","HoverBurn":"1040","HoldingTas":"200","PlannedTas":"430","ClimbTas":"400","CruiseTas":"","GlideTas":"200","DescentTas":"300","LoiterTas":"200","DescentRate":"2000","ClimbRate":"2000","GlideRatio":"10","ServiceCeiling":"45000"},</v>
      </c>
      <c r="B6" s="25" t="s">
        <v>71</v>
      </c>
      <c r="C6" s="25" t="str">
        <f t="shared" ref="C6:C23" si="1">C5</f>
        <v>"id":"</v>
      </c>
      <c r="D6" s="25" t="s">
        <v>142</v>
      </c>
      <c r="E6" s="25" t="str">
        <f t="shared" ref="E6:F23" si="2">E5</f>
        <v>",</v>
      </c>
      <c r="F6" s="25" t="str">
        <f t="shared" si="2"/>
        <v>"type":</v>
      </c>
      <c r="G6" s="25" t="s">
        <v>687</v>
      </c>
      <c r="H6" s="25" t="str">
        <f t="shared" ref="H6:H23" si="3">H5</f>
        <v>,"Code":"</v>
      </c>
      <c r="I6" s="25" t="s">
        <v>131</v>
      </c>
      <c r="J6" s="25" t="str">
        <f t="shared" ref="J6:J23" si="4">J5</f>
        <v>","serial":"</v>
      </c>
      <c r="K6" s="25">
        <v>231</v>
      </c>
      <c r="L6" s="25" t="str">
        <f t="shared" ref="L6:L23" si="5">L5</f>
        <v>","deliniator":"</v>
      </c>
      <c r="M6" s="25" t="str">
        <f t="shared" si="0"/>
        <v>23</v>
      </c>
      <c r="N6" s="25" t="str">
        <f t="shared" ref="N6:N23" si="6">N5</f>
        <v>","Performance":"</v>
      </c>
      <c r="O6" s="25" t="s">
        <v>136</v>
      </c>
      <c r="P6" s="25" t="str">
        <f t="shared" ref="P6:P23" si="7">P5</f>
        <v>","Color":"</v>
      </c>
      <c r="Q6" s="25" t="s">
        <v>141</v>
      </c>
      <c r="R6" s="25" t="str">
        <f t="shared" ref="R6:R23" si="8">R5</f>
        <v>","Manufacturer":"</v>
      </c>
      <c r="S6" s="25" t="s">
        <v>138</v>
      </c>
      <c r="T6" s="25" t="str">
        <f t="shared" ref="T6:T23" si="9">T5</f>
        <v>","WakeCategory":"</v>
      </c>
      <c r="U6" s="25" t="s">
        <v>139</v>
      </c>
      <c r="V6" s="25" t="str">
        <f t="shared" ref="V6:V23" si="10">V5</f>
        <v>","profiles":[],</v>
      </c>
      <c r="W6" s="25" t="str">
        <f t="shared" ref="W6:W23" si="11">W5</f>
        <v>"Engines":[],"Engine":"",</v>
      </c>
      <c r="X6" s="25" t="str">
        <f t="shared" ref="X6:X23" si="12">X5</f>
        <v>"Equipment" : {"SurveillanceEquipment":"</v>
      </c>
      <c r="Y6" s="25" t="s">
        <v>132</v>
      </c>
      <c r="Z6" s="25" t="str">
        <f t="shared" ref="Z6:Z23" si="13">Z5</f>
        <v>","PBN":"</v>
      </c>
      <c r="AA6" s="25" t="s">
        <v>133</v>
      </c>
      <c r="AB6" s="25" t="str">
        <f t="shared" ref="AB6:AB23" si="14">AB5</f>
        <v>","EquipmentInformation":"</v>
      </c>
      <c r="AC6" s="25" t="s">
        <v>134</v>
      </c>
      <c r="AD6" s="25" t="str">
        <f t="shared" ref="AD6:AD23" si="15">AD5</f>
        <v>","SafetyEquipment":"</v>
      </c>
      <c r="AE6" s="25" t="s">
        <v>135</v>
      </c>
      <c r="AF6" s="25" t="str">
        <f t="shared" ref="AF6:AF23" si="16">AF5</f>
        <v>","EmergencyRadio":"</v>
      </c>
      <c r="AG6" s="25" t="str">
        <f t="shared" ref="AG6:AG23" si="17">AG5</f>
        <v>0</v>
      </c>
      <c r="AH6" s="25" t="str">
        <f t="shared" ref="AH6:AH23" si="18">AH5</f>
        <v>","NumberDinghies":"0","DinghiesCovered":"0","DinghyCapacity" : "0","DinghyColor":"0"},"STS":"</v>
      </c>
      <c r="AJ6" s="25" t="str">
        <f t="shared" ref="AJ6:AJ23" si="19">AJ5</f>
        <v>",</v>
      </c>
      <c r="AO6" s="25" t="str">
        <f t="shared" ref="AO6:AO23" si="20">AO5</f>
        <v>"FuelCapacity":"</v>
      </c>
      <c r="AR6" s="25">
        <v>6988</v>
      </c>
      <c r="AS6" s="25" t="str">
        <f t="shared" ref="AS6:AS23" si="21">AS5</f>
        <v>",</v>
      </c>
      <c r="AU6" s="25" t="str">
        <f t="shared" ref="AU6:AU23" si="22">AU5</f>
        <v>"ReserveFuel":"</v>
      </c>
      <c r="AV6" s="25">
        <v>520</v>
      </c>
      <c r="AW6" s="25" t="str">
        <f t="shared" ref="AW6:AW23" si="23">AW5</f>
        <v>"</v>
      </c>
      <c r="AY6" s="25" t="str">
        <f t="shared" ref="AY6:AY23" si="24">AY5</f>
        <v>,"FinalReserveTime":"</v>
      </c>
      <c r="AZ6" s="25">
        <v>30</v>
      </c>
      <c r="BA6" s="25" t="str">
        <f t="shared" ref="BA6:BA23" si="25">BA5</f>
        <v>","ContingencyReserveFuel":"</v>
      </c>
      <c r="BB6" s="25">
        <v>10</v>
      </c>
      <c r="BC6" s="25" t="str">
        <f t="shared" ref="BC6:BC23" si="26">BC5</f>
        <v>","ContingencyFuelMinimum":"</v>
      </c>
      <c r="BD6" s="25">
        <v>0</v>
      </c>
      <c r="BE6" s="25" t="str">
        <f t="shared" ref="BE6:BE23" si="27">BE5</f>
        <v>","TaxiFuel":"</v>
      </c>
      <c r="BF6" s="25">
        <v>150</v>
      </c>
      <c r="BG6" s="25" t="str">
        <f t="shared" ref="BG6:BG23" si="28">BG5</f>
        <v>","ClimbBurn":"</v>
      </c>
      <c r="BH6" s="25">
        <v>2000</v>
      </c>
      <c r="BI6" s="25" t="str">
        <f t="shared" ref="BI6:BI23" si="29">BI5</f>
        <v>","AWKBurn":"</v>
      </c>
      <c r="BJ6" s="25" t="s">
        <v>213</v>
      </c>
      <c r="BK6" s="25" t="str">
        <f t="shared" ref="BK6:BK23" si="30">BK5</f>
        <v>","HoverBurn":"</v>
      </c>
      <c r="BL6" s="25">
        <v>1040</v>
      </c>
      <c r="BM6" s="25" t="str">
        <f t="shared" ref="BM6:BM23" si="31">BM5</f>
        <v>","HoldingTas":"</v>
      </c>
      <c r="BN6" s="25" t="s">
        <v>665</v>
      </c>
      <c r="BO6" s="25" t="str">
        <f t="shared" ref="BO6:BO23" si="32">BO5</f>
        <v>","PlannedTas":"</v>
      </c>
      <c r="BP6" s="25">
        <v>430</v>
      </c>
      <c r="BQ6" s="25" t="str">
        <f t="shared" ref="BQ6:BQ23" si="33">BQ5</f>
        <v>","ClimbTas":"</v>
      </c>
      <c r="BR6" s="25">
        <v>400</v>
      </c>
      <c r="BS6" s="25" t="str">
        <f t="shared" ref="BS6:BS23" si="34">BS5</f>
        <v>","CruiseTas":"</v>
      </c>
      <c r="BU6" s="25" t="str">
        <f t="shared" ref="BU6:BU23" si="35">BU5</f>
        <v>","GlideTas":"</v>
      </c>
      <c r="BV6" s="25">
        <v>200</v>
      </c>
      <c r="BW6" s="25" t="str">
        <f t="shared" ref="BW6:BW23" si="36">BW5</f>
        <v>","DescentTas":"</v>
      </c>
      <c r="BX6" s="25">
        <v>300</v>
      </c>
      <c r="BY6" s="25" t="str">
        <f t="shared" ref="BY6:BY23" si="37">BY5</f>
        <v>","LoiterTas":"</v>
      </c>
      <c r="BZ6" s="25">
        <v>200</v>
      </c>
      <c r="CA6" s="25" t="str">
        <f t="shared" ref="CA6:CA23" si="38">CA5</f>
        <v>","DescentRate":"</v>
      </c>
      <c r="CB6" s="25">
        <v>2000</v>
      </c>
      <c r="CC6" s="25" t="str">
        <f t="shared" ref="CC6:CC23" si="39">CC5</f>
        <v>","ClimbRate":"</v>
      </c>
      <c r="CD6" s="25">
        <v>2000</v>
      </c>
      <c r="CE6" s="25" t="str">
        <f t="shared" ref="CE6:CE23" si="40">CE5</f>
        <v>","GlideRatio":"</v>
      </c>
      <c r="CF6" s="25">
        <v>10</v>
      </c>
      <c r="CG6" s="25" t="str">
        <f t="shared" ref="CG6:CG23" si="41">CG5</f>
        <v>","ServiceCeiling":"</v>
      </c>
      <c r="CH6" s="25">
        <v>45000</v>
      </c>
      <c r="CI6" s="25" t="str">
        <f t="shared" ref="CI6:CI22" si="42">CI5</f>
        <v>"},</v>
      </c>
    </row>
    <row r="7" spans="1:87" s="25" customFormat="1">
      <c r="A7" s="73" t="str">
        <f>_xlfn.CONCAT(B7:CI7)</f>
        <v>{"id":"LJJ","type":1,"Code":"L35","serial":"324","deliniator":"32","Performance":"C","Color":"White","Manufacturer":"Bombardier","WakeCategory":"M","profiles":[],"Engines":[],"Engine":"","Equipment" : {"SurveillanceEquipment":"EB1","PBN":"A1O2S1","EquipmentInformation":"SDFGHURZW","SafetyEquipment":"FG","EmergencyRadio":"0","NumberDinghies":"0","DinghiesCovered":"0","DinghyCapacity" : "0","DinghyColor":"0"},"STS":"","FuelCapacity":"6198","ReserveFuel":"520","FinalReserveTime":"30","ContingencyReserveFuel":"10","ContingencyFuelMinimum":"0","TaxiFuel":"150","ClimbBurn":"2000","AWKBurn":"1500","HoverBurn":"1040","HoldingTas":"200","PlannedTas":"430","ClimbTas":"400","CruiseTas":"","GlideTas":"200","DescentTas":"300","LoiterTas":"200","DescentRate":"2000","ClimbRate":"2000","GlideRatio":"10","ServiceCeiling":"45000"},</v>
      </c>
      <c r="B7" s="25" t="s">
        <v>71</v>
      </c>
      <c r="C7" s="25" t="str">
        <f t="shared" si="1"/>
        <v>"id":"</v>
      </c>
      <c r="D7" s="25" t="s">
        <v>640</v>
      </c>
      <c r="E7" s="25" t="str">
        <f t="shared" si="2"/>
        <v>",</v>
      </c>
      <c r="F7" s="25" t="str">
        <f t="shared" si="2"/>
        <v>"type":</v>
      </c>
      <c r="G7" s="25" t="s">
        <v>687</v>
      </c>
      <c r="H7" s="25" t="str">
        <f t="shared" si="3"/>
        <v>,"Code":"</v>
      </c>
      <c r="I7" s="25" t="s">
        <v>131</v>
      </c>
      <c r="J7" s="25" t="str">
        <f t="shared" si="4"/>
        <v>","serial":"</v>
      </c>
      <c r="K7" s="25">
        <v>324</v>
      </c>
      <c r="L7" s="25" t="str">
        <f t="shared" si="5"/>
        <v>","deliniator":"</v>
      </c>
      <c r="M7" s="25" t="str">
        <f t="shared" si="0"/>
        <v>32</v>
      </c>
      <c r="N7" s="25" t="str">
        <f t="shared" si="6"/>
        <v>","Performance":"</v>
      </c>
      <c r="O7" s="25" t="s">
        <v>136</v>
      </c>
      <c r="P7" s="25" t="str">
        <f t="shared" si="7"/>
        <v>","Color":"</v>
      </c>
      <c r="Q7" s="25" t="s">
        <v>141</v>
      </c>
      <c r="R7" s="25" t="str">
        <f t="shared" si="8"/>
        <v>","Manufacturer":"</v>
      </c>
      <c r="S7" s="25" t="s">
        <v>138</v>
      </c>
      <c r="T7" s="25" t="str">
        <f t="shared" si="9"/>
        <v>","WakeCategory":"</v>
      </c>
      <c r="U7" s="25" t="s">
        <v>139</v>
      </c>
      <c r="V7" s="25" t="str">
        <f t="shared" si="10"/>
        <v>","profiles":[],</v>
      </c>
      <c r="W7" s="25" t="str">
        <f t="shared" si="11"/>
        <v>"Engines":[],"Engine":"",</v>
      </c>
      <c r="X7" s="25" t="str">
        <f t="shared" si="12"/>
        <v>"Equipment" : {"SurveillanceEquipment":"</v>
      </c>
      <c r="Y7" s="25" t="s">
        <v>132</v>
      </c>
      <c r="Z7" s="25" t="str">
        <f t="shared" si="13"/>
        <v>","PBN":"</v>
      </c>
      <c r="AA7" s="25" t="s">
        <v>133</v>
      </c>
      <c r="AB7" s="25" t="str">
        <f t="shared" si="14"/>
        <v>","EquipmentInformation":"</v>
      </c>
      <c r="AC7" s="25" t="s">
        <v>134</v>
      </c>
      <c r="AD7" s="25" t="str">
        <f t="shared" si="15"/>
        <v>","SafetyEquipment":"</v>
      </c>
      <c r="AE7" s="25" t="s">
        <v>135</v>
      </c>
      <c r="AF7" s="25" t="str">
        <f t="shared" si="16"/>
        <v>","EmergencyRadio":"</v>
      </c>
      <c r="AG7" s="25" t="str">
        <f t="shared" si="17"/>
        <v>0</v>
      </c>
      <c r="AH7" s="25" t="str">
        <f t="shared" si="18"/>
        <v>","NumberDinghies":"0","DinghiesCovered":"0","DinghyCapacity" : "0","DinghyColor":"0"},"STS":"</v>
      </c>
      <c r="AJ7" s="25" t="str">
        <f t="shared" si="19"/>
        <v>",</v>
      </c>
      <c r="AO7" s="25" t="str">
        <f t="shared" si="20"/>
        <v>"FuelCapacity":"</v>
      </c>
      <c r="AR7" s="25">
        <v>6198</v>
      </c>
      <c r="AS7" s="25" t="str">
        <f t="shared" si="21"/>
        <v>",</v>
      </c>
      <c r="AU7" s="25" t="str">
        <f t="shared" si="22"/>
        <v>"ReserveFuel":"</v>
      </c>
      <c r="AV7" s="25">
        <v>520</v>
      </c>
      <c r="AW7" s="25" t="str">
        <f t="shared" si="23"/>
        <v>"</v>
      </c>
      <c r="AY7" s="25" t="str">
        <f t="shared" si="24"/>
        <v>,"FinalReserveTime":"</v>
      </c>
      <c r="AZ7" s="25">
        <v>30</v>
      </c>
      <c r="BA7" s="25" t="str">
        <f t="shared" si="25"/>
        <v>","ContingencyReserveFuel":"</v>
      </c>
      <c r="BB7" s="25">
        <v>10</v>
      </c>
      <c r="BC7" s="25" t="str">
        <f t="shared" si="26"/>
        <v>","ContingencyFuelMinimum":"</v>
      </c>
      <c r="BD7" s="25">
        <v>0</v>
      </c>
      <c r="BE7" s="25" t="str">
        <f t="shared" si="27"/>
        <v>","TaxiFuel":"</v>
      </c>
      <c r="BF7" s="25">
        <v>150</v>
      </c>
      <c r="BG7" s="25" t="str">
        <f t="shared" si="28"/>
        <v>","ClimbBurn":"</v>
      </c>
      <c r="BH7" s="25">
        <v>2000</v>
      </c>
      <c r="BI7" s="25" t="str">
        <f t="shared" si="29"/>
        <v>","AWKBurn":"</v>
      </c>
      <c r="BJ7" s="25" t="s">
        <v>213</v>
      </c>
      <c r="BK7" s="25" t="str">
        <f t="shared" si="30"/>
        <v>","HoverBurn":"</v>
      </c>
      <c r="BL7" s="25">
        <v>1040</v>
      </c>
      <c r="BM7" s="25" t="str">
        <f t="shared" si="31"/>
        <v>","HoldingTas":"</v>
      </c>
      <c r="BN7" s="25" t="s">
        <v>665</v>
      </c>
      <c r="BO7" s="25" t="str">
        <f t="shared" si="32"/>
        <v>","PlannedTas":"</v>
      </c>
      <c r="BP7" s="25">
        <v>430</v>
      </c>
      <c r="BQ7" s="25" t="str">
        <f t="shared" si="33"/>
        <v>","ClimbTas":"</v>
      </c>
      <c r="BR7" s="25">
        <v>400</v>
      </c>
      <c r="BS7" s="25" t="str">
        <f t="shared" si="34"/>
        <v>","CruiseTas":"</v>
      </c>
      <c r="BU7" s="25" t="str">
        <f t="shared" si="35"/>
        <v>","GlideTas":"</v>
      </c>
      <c r="BV7" s="25">
        <v>200</v>
      </c>
      <c r="BW7" s="25" t="str">
        <f t="shared" si="36"/>
        <v>","DescentTas":"</v>
      </c>
      <c r="BX7" s="25">
        <v>300</v>
      </c>
      <c r="BY7" s="25" t="str">
        <f t="shared" si="37"/>
        <v>","LoiterTas":"</v>
      </c>
      <c r="BZ7" s="25">
        <v>200</v>
      </c>
      <c r="CA7" s="25" t="str">
        <f t="shared" si="38"/>
        <v>","DescentRate":"</v>
      </c>
      <c r="CB7" s="25">
        <v>2000</v>
      </c>
      <c r="CC7" s="25" t="str">
        <f t="shared" si="39"/>
        <v>","ClimbRate":"</v>
      </c>
      <c r="CD7" s="25">
        <v>2000</v>
      </c>
      <c r="CE7" s="25" t="str">
        <f t="shared" si="40"/>
        <v>","GlideRatio":"</v>
      </c>
      <c r="CF7" s="25">
        <v>10</v>
      </c>
      <c r="CG7" s="25" t="str">
        <f t="shared" si="41"/>
        <v>","ServiceCeiling":"</v>
      </c>
      <c r="CH7" s="25">
        <v>45000</v>
      </c>
      <c r="CI7" s="25" t="str">
        <f t="shared" si="42"/>
        <v>"},</v>
      </c>
    </row>
    <row r="8" spans="1:87" s="25" customFormat="1">
      <c r="A8" s="73" t="str">
        <f>_xlfn.CONCAT(B8:CI8)</f>
        <v>{"id":"LJU","type":0,"Code":"L35","serial":"366","deliniator":"36","Performance":"C","Color":"White","Manufacturer":"Bombardier","WakeCategory":"M","profiles":[],"Engines":[],"Engine":"","Equipment" : {"SurveillanceEquipment":"EB1","PBN":"A1O2S1","EquipmentInformation":"SDFGHURZW","SafetyEquipment":"FG","EmergencyRadio":"0","NumberDinghies":"0","DinghiesCovered":"0","DinghyCapacity" : "0","DinghyColor":"0"},"STS":"","FuelCapacity":"6238","ReserveFuel":"520","FinalReserveTime":"30","ContingencyReserveFuel":"10","ContingencyFuelMinimum":"0","TaxiFuel":"150","ClimbBurn":"2000","AWKBurn":"1500","HoverBurn":"1040","HoldingTas":"200","PlannedTas":"430","ClimbTas":"400","CruiseTas":"","GlideTas":"200","DescentTas":"300","LoiterTas":"200","DescentRate":"2000","ClimbRate":"2000","GlideRatio":"10","ServiceCeiling":"45000"},</v>
      </c>
      <c r="B8" s="25" t="s">
        <v>71</v>
      </c>
      <c r="C8" s="25" t="str">
        <f t="shared" si="1"/>
        <v>"id":"</v>
      </c>
      <c r="D8" s="25" t="s">
        <v>144</v>
      </c>
      <c r="E8" s="25" t="str">
        <f t="shared" si="2"/>
        <v>",</v>
      </c>
      <c r="F8" s="25" t="str">
        <f t="shared" si="2"/>
        <v>"type":</v>
      </c>
      <c r="G8" s="25" t="s">
        <v>70</v>
      </c>
      <c r="H8" s="25" t="str">
        <f t="shared" si="3"/>
        <v>,"Code":"</v>
      </c>
      <c r="I8" s="25" t="s">
        <v>131</v>
      </c>
      <c r="J8" s="25" t="str">
        <f t="shared" si="4"/>
        <v>","serial":"</v>
      </c>
      <c r="K8" s="25">
        <v>366</v>
      </c>
      <c r="L8" s="25" t="str">
        <f t="shared" si="5"/>
        <v>","deliniator":"</v>
      </c>
      <c r="M8" s="25" t="str">
        <f t="shared" si="0"/>
        <v>36</v>
      </c>
      <c r="N8" s="25" t="str">
        <f t="shared" si="6"/>
        <v>","Performance":"</v>
      </c>
      <c r="O8" s="25" t="s">
        <v>136</v>
      </c>
      <c r="P8" s="25" t="str">
        <f t="shared" si="7"/>
        <v>","Color":"</v>
      </c>
      <c r="Q8" s="25" t="s">
        <v>141</v>
      </c>
      <c r="R8" s="25" t="str">
        <f t="shared" si="8"/>
        <v>","Manufacturer":"</v>
      </c>
      <c r="S8" s="25" t="s">
        <v>138</v>
      </c>
      <c r="T8" s="25" t="str">
        <f t="shared" si="9"/>
        <v>","WakeCategory":"</v>
      </c>
      <c r="U8" s="25" t="s">
        <v>139</v>
      </c>
      <c r="V8" s="25" t="str">
        <f t="shared" si="10"/>
        <v>","profiles":[],</v>
      </c>
      <c r="W8" s="25" t="str">
        <f t="shared" si="11"/>
        <v>"Engines":[],"Engine":"",</v>
      </c>
      <c r="X8" s="25" t="str">
        <f t="shared" si="12"/>
        <v>"Equipment" : {"SurveillanceEquipment":"</v>
      </c>
      <c r="Y8" s="25" t="s">
        <v>132</v>
      </c>
      <c r="Z8" s="25" t="str">
        <f t="shared" si="13"/>
        <v>","PBN":"</v>
      </c>
      <c r="AA8" s="25" t="s">
        <v>133</v>
      </c>
      <c r="AB8" s="25" t="str">
        <f t="shared" si="14"/>
        <v>","EquipmentInformation":"</v>
      </c>
      <c r="AC8" s="25" t="s">
        <v>134</v>
      </c>
      <c r="AD8" s="25" t="str">
        <f t="shared" si="15"/>
        <v>","SafetyEquipment":"</v>
      </c>
      <c r="AE8" s="25" t="s">
        <v>135</v>
      </c>
      <c r="AF8" s="25" t="str">
        <f t="shared" si="16"/>
        <v>","EmergencyRadio":"</v>
      </c>
      <c r="AG8" s="25" t="str">
        <f t="shared" si="17"/>
        <v>0</v>
      </c>
      <c r="AH8" s="25" t="str">
        <f t="shared" si="18"/>
        <v>","NumberDinghies":"0","DinghiesCovered":"0","DinghyCapacity" : "0","DinghyColor":"0"},"STS":"</v>
      </c>
      <c r="AJ8" s="25" t="str">
        <f t="shared" si="19"/>
        <v>",</v>
      </c>
      <c r="AO8" s="25" t="str">
        <f t="shared" si="20"/>
        <v>"FuelCapacity":"</v>
      </c>
      <c r="AR8" s="25">
        <v>6238</v>
      </c>
      <c r="AS8" s="25" t="str">
        <f t="shared" si="21"/>
        <v>",</v>
      </c>
      <c r="AU8" s="25" t="str">
        <f t="shared" si="22"/>
        <v>"ReserveFuel":"</v>
      </c>
      <c r="AV8" s="25">
        <v>520</v>
      </c>
      <c r="AW8" s="25" t="str">
        <f t="shared" si="23"/>
        <v>"</v>
      </c>
      <c r="AY8" s="25" t="str">
        <f t="shared" si="24"/>
        <v>,"FinalReserveTime":"</v>
      </c>
      <c r="AZ8" s="25">
        <v>30</v>
      </c>
      <c r="BA8" s="25" t="str">
        <f t="shared" si="25"/>
        <v>","ContingencyReserveFuel":"</v>
      </c>
      <c r="BB8" s="25">
        <v>10</v>
      </c>
      <c r="BC8" s="25" t="str">
        <f t="shared" si="26"/>
        <v>","ContingencyFuelMinimum":"</v>
      </c>
      <c r="BD8" s="25">
        <v>0</v>
      </c>
      <c r="BE8" s="25" t="str">
        <f t="shared" si="27"/>
        <v>","TaxiFuel":"</v>
      </c>
      <c r="BF8" s="25">
        <v>150</v>
      </c>
      <c r="BG8" s="25" t="str">
        <f t="shared" si="28"/>
        <v>","ClimbBurn":"</v>
      </c>
      <c r="BH8" s="25">
        <v>2000</v>
      </c>
      <c r="BI8" s="25" t="str">
        <f t="shared" si="29"/>
        <v>","AWKBurn":"</v>
      </c>
      <c r="BJ8" s="25" t="s">
        <v>213</v>
      </c>
      <c r="BK8" s="25" t="str">
        <f t="shared" si="30"/>
        <v>","HoverBurn":"</v>
      </c>
      <c r="BL8" s="25">
        <v>1040</v>
      </c>
      <c r="BM8" s="25" t="str">
        <f t="shared" si="31"/>
        <v>","HoldingTas":"</v>
      </c>
      <c r="BN8" s="25" t="s">
        <v>665</v>
      </c>
      <c r="BO8" s="25" t="str">
        <f t="shared" si="32"/>
        <v>","PlannedTas":"</v>
      </c>
      <c r="BP8" s="25">
        <v>430</v>
      </c>
      <c r="BQ8" s="25" t="str">
        <f t="shared" si="33"/>
        <v>","ClimbTas":"</v>
      </c>
      <c r="BR8" s="25">
        <v>400</v>
      </c>
      <c r="BS8" s="25" t="str">
        <f t="shared" si="34"/>
        <v>","CruiseTas":"</v>
      </c>
      <c r="BU8" s="25" t="str">
        <f t="shared" si="35"/>
        <v>","GlideTas":"</v>
      </c>
      <c r="BV8" s="25">
        <v>200</v>
      </c>
      <c r="BW8" s="25" t="str">
        <f t="shared" si="36"/>
        <v>","DescentTas":"</v>
      </c>
      <c r="BX8" s="25">
        <v>300</v>
      </c>
      <c r="BY8" s="25" t="str">
        <f t="shared" si="37"/>
        <v>","LoiterTas":"</v>
      </c>
      <c r="BZ8" s="25">
        <v>200</v>
      </c>
      <c r="CA8" s="25" t="str">
        <f t="shared" si="38"/>
        <v>","DescentRate":"</v>
      </c>
      <c r="CB8" s="25">
        <v>2000</v>
      </c>
      <c r="CC8" s="25" t="str">
        <f t="shared" si="39"/>
        <v>","ClimbRate":"</v>
      </c>
      <c r="CD8" s="25">
        <v>2000</v>
      </c>
      <c r="CE8" s="25" t="str">
        <f t="shared" si="40"/>
        <v>","GlideRatio":"</v>
      </c>
      <c r="CF8" s="25">
        <v>10</v>
      </c>
      <c r="CG8" s="25" t="str">
        <f t="shared" si="41"/>
        <v>","ServiceCeiling":"</v>
      </c>
      <c r="CH8" s="25">
        <v>45000</v>
      </c>
      <c r="CI8" s="25" t="str">
        <f t="shared" si="42"/>
        <v>"},</v>
      </c>
    </row>
    <row r="9" spans="1:87" s="25" customFormat="1">
      <c r="A9" s="73" t="str">
        <f>_xlfn.CONCAT(B9:CI9)</f>
        <v>{"id":"LPS","type":1,"Code":"L35","serial":"407","deliniator":"40","Performance":"C","Color":"White","Manufacturer":"Bombardier","WakeCategory":"M","profiles":[],"Engines":[],"Engine":"","Equipment" : {"SurveillanceEquipment":"EB1","PBN":"A1O2S2","EquipmentInformation":"SDFGHURZW","SafetyEquipment":"FG","EmergencyRadio":"0","NumberDinghies":"0","DinghiesCovered":"0","DinghyCapacity" : "0","DinghyColor":"0"},"STS":"","FuelCapacity":"6988","ReserveFuel":"520","FinalReserveTime":"30","ContingencyReserveFuel":"10","ContingencyFuelMinimum":"0","TaxiFuel":"150","ClimbBurn":"2000","AWKBurn":"1500","HoverBurn":"1040","HoldingTas":"200","PlannedTas":"430","ClimbTas":"400","CruiseTas":"","GlideTas":"200","DescentTas":"300","LoiterTas":"200","DescentRate":"2000","ClimbRate":"2000","GlideRatio":"10","ServiceCeiling":"45000"},</v>
      </c>
      <c r="B9" s="25" t="s">
        <v>71</v>
      </c>
      <c r="C9" s="25" t="str">
        <f t="shared" si="1"/>
        <v>"id":"</v>
      </c>
      <c r="D9" s="25" t="s">
        <v>145</v>
      </c>
      <c r="E9" s="25" t="str">
        <f t="shared" si="2"/>
        <v>",</v>
      </c>
      <c r="F9" s="25" t="str">
        <f t="shared" si="2"/>
        <v>"type":</v>
      </c>
      <c r="G9" s="25" t="s">
        <v>687</v>
      </c>
      <c r="H9" s="25" t="str">
        <f t="shared" si="3"/>
        <v>,"Code":"</v>
      </c>
      <c r="I9" s="25" t="s">
        <v>131</v>
      </c>
      <c r="J9" s="25" t="str">
        <f t="shared" si="4"/>
        <v>","serial":"</v>
      </c>
      <c r="K9" s="25">
        <v>407</v>
      </c>
      <c r="L9" s="25" t="str">
        <f t="shared" si="5"/>
        <v>","deliniator":"</v>
      </c>
      <c r="M9" s="25" t="str">
        <f t="shared" si="0"/>
        <v>40</v>
      </c>
      <c r="N9" s="25" t="str">
        <f t="shared" si="6"/>
        <v>","Performance":"</v>
      </c>
      <c r="O9" s="25" t="s">
        <v>136</v>
      </c>
      <c r="P9" s="25" t="str">
        <f t="shared" si="7"/>
        <v>","Color":"</v>
      </c>
      <c r="Q9" s="25" t="s">
        <v>141</v>
      </c>
      <c r="R9" s="25" t="str">
        <f t="shared" si="8"/>
        <v>","Manufacturer":"</v>
      </c>
      <c r="S9" s="25" t="s">
        <v>138</v>
      </c>
      <c r="T9" s="25" t="str">
        <f t="shared" si="9"/>
        <v>","WakeCategory":"</v>
      </c>
      <c r="U9" s="25" t="s">
        <v>139</v>
      </c>
      <c r="V9" s="25" t="str">
        <f t="shared" si="10"/>
        <v>","profiles":[],</v>
      </c>
      <c r="W9" s="25" t="str">
        <f t="shared" si="11"/>
        <v>"Engines":[],"Engine":"",</v>
      </c>
      <c r="X9" s="25" t="str">
        <f t="shared" si="12"/>
        <v>"Equipment" : {"SurveillanceEquipment":"</v>
      </c>
      <c r="Y9" s="25" t="s">
        <v>132</v>
      </c>
      <c r="Z9" s="25" t="str">
        <f t="shared" si="13"/>
        <v>","PBN":"</v>
      </c>
      <c r="AA9" s="25" t="s">
        <v>146</v>
      </c>
      <c r="AB9" s="25" t="str">
        <f t="shared" si="14"/>
        <v>","EquipmentInformation":"</v>
      </c>
      <c r="AC9" s="25" t="s">
        <v>134</v>
      </c>
      <c r="AD9" s="25" t="str">
        <f t="shared" si="15"/>
        <v>","SafetyEquipment":"</v>
      </c>
      <c r="AE9" s="25" t="s">
        <v>135</v>
      </c>
      <c r="AF9" s="25" t="str">
        <f t="shared" si="16"/>
        <v>","EmergencyRadio":"</v>
      </c>
      <c r="AG9" s="25" t="str">
        <f t="shared" si="17"/>
        <v>0</v>
      </c>
      <c r="AH9" s="25" t="str">
        <f t="shared" si="18"/>
        <v>","NumberDinghies":"0","DinghiesCovered":"0","DinghyCapacity" : "0","DinghyColor":"0"},"STS":"</v>
      </c>
      <c r="AJ9" s="25" t="str">
        <f t="shared" si="19"/>
        <v>",</v>
      </c>
      <c r="AO9" s="25" t="str">
        <f t="shared" si="20"/>
        <v>"FuelCapacity":"</v>
      </c>
      <c r="AR9" s="25">
        <v>6988</v>
      </c>
      <c r="AS9" s="25" t="str">
        <f t="shared" si="21"/>
        <v>",</v>
      </c>
      <c r="AU9" s="25" t="str">
        <f t="shared" si="22"/>
        <v>"ReserveFuel":"</v>
      </c>
      <c r="AV9" s="25">
        <v>520</v>
      </c>
      <c r="AW9" s="25" t="str">
        <f t="shared" si="23"/>
        <v>"</v>
      </c>
      <c r="AY9" s="25" t="str">
        <f t="shared" si="24"/>
        <v>,"FinalReserveTime":"</v>
      </c>
      <c r="AZ9" s="25">
        <v>30</v>
      </c>
      <c r="BA9" s="25" t="str">
        <f t="shared" si="25"/>
        <v>","ContingencyReserveFuel":"</v>
      </c>
      <c r="BB9" s="25">
        <v>10</v>
      </c>
      <c r="BC9" s="25" t="str">
        <f t="shared" si="26"/>
        <v>","ContingencyFuelMinimum":"</v>
      </c>
      <c r="BD9" s="25">
        <v>0</v>
      </c>
      <c r="BE9" s="25" t="str">
        <f t="shared" si="27"/>
        <v>","TaxiFuel":"</v>
      </c>
      <c r="BF9" s="25">
        <v>150</v>
      </c>
      <c r="BG9" s="25" t="str">
        <f t="shared" si="28"/>
        <v>","ClimbBurn":"</v>
      </c>
      <c r="BH9" s="25">
        <v>2000</v>
      </c>
      <c r="BI9" s="25" t="str">
        <f t="shared" si="29"/>
        <v>","AWKBurn":"</v>
      </c>
      <c r="BJ9" s="25" t="s">
        <v>213</v>
      </c>
      <c r="BK9" s="25" t="str">
        <f t="shared" si="30"/>
        <v>","HoverBurn":"</v>
      </c>
      <c r="BL9" s="25">
        <v>1040</v>
      </c>
      <c r="BM9" s="25" t="str">
        <f t="shared" si="31"/>
        <v>","HoldingTas":"</v>
      </c>
      <c r="BN9" s="25" t="s">
        <v>665</v>
      </c>
      <c r="BO9" s="25" t="str">
        <f t="shared" si="32"/>
        <v>","PlannedTas":"</v>
      </c>
      <c r="BP9" s="25">
        <v>430</v>
      </c>
      <c r="BQ9" s="25" t="str">
        <f t="shared" si="33"/>
        <v>","ClimbTas":"</v>
      </c>
      <c r="BR9" s="25">
        <v>400</v>
      </c>
      <c r="BS9" s="25" t="str">
        <f t="shared" si="34"/>
        <v>","CruiseTas":"</v>
      </c>
      <c r="BU9" s="25" t="str">
        <f t="shared" si="35"/>
        <v>","GlideTas":"</v>
      </c>
      <c r="BV9" s="25">
        <v>200</v>
      </c>
      <c r="BW9" s="25" t="str">
        <f t="shared" si="36"/>
        <v>","DescentTas":"</v>
      </c>
      <c r="BX9" s="25">
        <v>300</v>
      </c>
      <c r="BY9" s="25" t="str">
        <f t="shared" si="37"/>
        <v>","LoiterTas":"</v>
      </c>
      <c r="BZ9" s="25">
        <v>200</v>
      </c>
      <c r="CA9" s="25" t="str">
        <f t="shared" si="38"/>
        <v>","DescentRate":"</v>
      </c>
      <c r="CB9" s="25">
        <v>2000</v>
      </c>
      <c r="CC9" s="25" t="str">
        <f t="shared" si="39"/>
        <v>","ClimbRate":"</v>
      </c>
      <c r="CD9" s="25">
        <v>2000</v>
      </c>
      <c r="CE9" s="25" t="str">
        <f t="shared" si="40"/>
        <v>","GlideRatio":"</v>
      </c>
      <c r="CF9" s="25">
        <v>10</v>
      </c>
      <c r="CG9" s="25" t="str">
        <f t="shared" si="41"/>
        <v>","ServiceCeiling":"</v>
      </c>
      <c r="CH9" s="25">
        <v>45000</v>
      </c>
      <c r="CI9" s="25" t="str">
        <f t="shared" si="42"/>
        <v>"},</v>
      </c>
    </row>
    <row r="10" spans="1:87" s="25" customFormat="1">
      <c r="A10" s="73" t="str">
        <f>_xlfn.CONCAT(B10:CI10)</f>
        <v>{"id":"SLE","type":0,"Code":"L35","serial":"428","deliniator":"42","Performance":"C","Color":"White","Manufacturer":"Bombardier","WakeCategory":"M","profiles":[],"Engines":[],"Engine":"","Equipment" : {"SurveillanceEquipment":"EB1","PBN":"A1O2S1","EquipmentInformation":"SDFGHURZW","SafetyEquipment":"FG","EmergencyRadio":"0","NumberDinghies":"0","DinghiesCovered":"0","DinghyCapacity" : "0","DinghyColor":"0"},"STS":"","FuelCapacity":"6238","ReserveFuel":"520","FinalReserveTime":"30","ContingencyReserveFuel":"10","ContingencyFuelMinimum":"0","TaxiFuel":"150","ClimbBurn":"2000","AWKBurn":"1500","HoverBurn":"1040","HoldingTas":"200","PlannedTas":"430","ClimbTas":"400","CruiseTas":"","GlideTas":"200","DescentTas":"300","LoiterTas":"200","DescentRate":"2000","ClimbRate":"2000","GlideRatio":"10","ServiceCeiling":"45000"},</v>
      </c>
      <c r="B10" s="25" t="s">
        <v>71</v>
      </c>
      <c r="C10" s="25" t="str">
        <f t="shared" si="1"/>
        <v>"id":"</v>
      </c>
      <c r="D10" s="25" t="s">
        <v>147</v>
      </c>
      <c r="E10" s="25" t="str">
        <f t="shared" si="2"/>
        <v>",</v>
      </c>
      <c r="F10" s="25" t="str">
        <f t="shared" si="2"/>
        <v>"type":</v>
      </c>
      <c r="G10" s="25" t="s">
        <v>70</v>
      </c>
      <c r="H10" s="25" t="str">
        <f t="shared" si="3"/>
        <v>,"Code":"</v>
      </c>
      <c r="I10" s="25" t="s">
        <v>131</v>
      </c>
      <c r="J10" s="25" t="str">
        <f t="shared" si="4"/>
        <v>","serial":"</v>
      </c>
      <c r="K10" s="25">
        <v>428</v>
      </c>
      <c r="L10" s="25" t="str">
        <f t="shared" si="5"/>
        <v>","deliniator":"</v>
      </c>
      <c r="M10" s="25" t="str">
        <f t="shared" si="0"/>
        <v>42</v>
      </c>
      <c r="N10" s="25" t="str">
        <f t="shared" si="6"/>
        <v>","Performance":"</v>
      </c>
      <c r="O10" s="25" t="s">
        <v>136</v>
      </c>
      <c r="P10" s="25" t="str">
        <f t="shared" si="7"/>
        <v>","Color":"</v>
      </c>
      <c r="Q10" s="25" t="s">
        <v>141</v>
      </c>
      <c r="R10" s="25" t="str">
        <f t="shared" si="8"/>
        <v>","Manufacturer":"</v>
      </c>
      <c r="S10" s="25" t="s">
        <v>138</v>
      </c>
      <c r="T10" s="25" t="str">
        <f t="shared" si="9"/>
        <v>","WakeCategory":"</v>
      </c>
      <c r="U10" s="25" t="s">
        <v>139</v>
      </c>
      <c r="V10" s="25" t="str">
        <f t="shared" si="10"/>
        <v>","profiles":[],</v>
      </c>
      <c r="W10" s="25" t="str">
        <f t="shared" si="11"/>
        <v>"Engines":[],"Engine":"",</v>
      </c>
      <c r="X10" s="25" t="str">
        <f t="shared" si="12"/>
        <v>"Equipment" : {"SurveillanceEquipment":"</v>
      </c>
      <c r="Y10" s="25" t="s">
        <v>132</v>
      </c>
      <c r="Z10" s="25" t="str">
        <f t="shared" si="13"/>
        <v>","PBN":"</v>
      </c>
      <c r="AA10" s="25" t="s">
        <v>133</v>
      </c>
      <c r="AB10" s="25" t="str">
        <f t="shared" si="14"/>
        <v>","EquipmentInformation":"</v>
      </c>
      <c r="AC10" s="25" t="s">
        <v>134</v>
      </c>
      <c r="AD10" s="25" t="str">
        <f t="shared" si="15"/>
        <v>","SafetyEquipment":"</v>
      </c>
      <c r="AE10" s="25" t="s">
        <v>135</v>
      </c>
      <c r="AF10" s="25" t="str">
        <f t="shared" si="16"/>
        <v>","EmergencyRadio":"</v>
      </c>
      <c r="AG10" s="25" t="str">
        <f t="shared" si="17"/>
        <v>0</v>
      </c>
      <c r="AH10" s="25" t="str">
        <f t="shared" si="18"/>
        <v>","NumberDinghies":"0","DinghiesCovered":"0","DinghyCapacity" : "0","DinghyColor":"0"},"STS":"</v>
      </c>
      <c r="AJ10" s="25" t="str">
        <f t="shared" si="19"/>
        <v>",</v>
      </c>
      <c r="AO10" s="25" t="str">
        <f t="shared" si="20"/>
        <v>"FuelCapacity":"</v>
      </c>
      <c r="AR10" s="25">
        <v>6238</v>
      </c>
      <c r="AS10" s="25" t="str">
        <f t="shared" si="21"/>
        <v>",</v>
      </c>
      <c r="AU10" s="25" t="str">
        <f t="shared" si="22"/>
        <v>"ReserveFuel":"</v>
      </c>
      <c r="AV10" s="25">
        <v>520</v>
      </c>
      <c r="AW10" s="25" t="str">
        <f t="shared" si="23"/>
        <v>"</v>
      </c>
      <c r="AY10" s="25" t="str">
        <f t="shared" si="24"/>
        <v>,"FinalReserveTime":"</v>
      </c>
      <c r="AZ10" s="25">
        <v>30</v>
      </c>
      <c r="BA10" s="25" t="str">
        <f t="shared" si="25"/>
        <v>","ContingencyReserveFuel":"</v>
      </c>
      <c r="BB10" s="25">
        <v>10</v>
      </c>
      <c r="BC10" s="25" t="str">
        <f t="shared" si="26"/>
        <v>","ContingencyFuelMinimum":"</v>
      </c>
      <c r="BD10" s="25">
        <v>0</v>
      </c>
      <c r="BE10" s="25" t="str">
        <f t="shared" si="27"/>
        <v>","TaxiFuel":"</v>
      </c>
      <c r="BF10" s="25">
        <v>150</v>
      </c>
      <c r="BG10" s="25" t="str">
        <f t="shared" si="28"/>
        <v>","ClimbBurn":"</v>
      </c>
      <c r="BH10" s="25">
        <v>2000</v>
      </c>
      <c r="BI10" s="25" t="str">
        <f t="shared" si="29"/>
        <v>","AWKBurn":"</v>
      </c>
      <c r="BJ10" s="25" t="s">
        <v>213</v>
      </c>
      <c r="BK10" s="25" t="str">
        <f t="shared" si="30"/>
        <v>","HoverBurn":"</v>
      </c>
      <c r="BL10" s="25">
        <v>1040</v>
      </c>
      <c r="BM10" s="25" t="str">
        <f t="shared" si="31"/>
        <v>","HoldingTas":"</v>
      </c>
      <c r="BN10" s="25" t="s">
        <v>665</v>
      </c>
      <c r="BO10" s="25" t="str">
        <f t="shared" si="32"/>
        <v>","PlannedTas":"</v>
      </c>
      <c r="BP10" s="25">
        <v>430</v>
      </c>
      <c r="BQ10" s="25" t="str">
        <f t="shared" si="33"/>
        <v>","ClimbTas":"</v>
      </c>
      <c r="BR10" s="25">
        <v>400</v>
      </c>
      <c r="BS10" s="25" t="str">
        <f t="shared" si="34"/>
        <v>","CruiseTas":"</v>
      </c>
      <c r="BU10" s="25" t="str">
        <f t="shared" si="35"/>
        <v>","GlideTas":"</v>
      </c>
      <c r="BV10" s="25">
        <v>200</v>
      </c>
      <c r="BW10" s="25" t="str">
        <f t="shared" si="36"/>
        <v>","DescentTas":"</v>
      </c>
      <c r="BX10" s="25">
        <v>300</v>
      </c>
      <c r="BY10" s="25" t="str">
        <f t="shared" si="37"/>
        <v>","LoiterTas":"</v>
      </c>
      <c r="BZ10" s="25">
        <v>200</v>
      </c>
      <c r="CA10" s="25" t="str">
        <f t="shared" si="38"/>
        <v>","DescentRate":"</v>
      </c>
      <c r="CB10" s="25">
        <v>2000</v>
      </c>
      <c r="CC10" s="25" t="str">
        <f t="shared" si="39"/>
        <v>","ClimbRate":"</v>
      </c>
      <c r="CD10" s="25">
        <v>2000</v>
      </c>
      <c r="CE10" s="25" t="str">
        <f t="shared" si="40"/>
        <v>","GlideRatio":"</v>
      </c>
      <c r="CF10" s="25">
        <v>10</v>
      </c>
      <c r="CG10" s="25" t="str">
        <f t="shared" si="41"/>
        <v>","ServiceCeiling":"</v>
      </c>
      <c r="CH10" s="25">
        <v>45000</v>
      </c>
      <c r="CI10" s="25" t="str">
        <f t="shared" si="42"/>
        <v>"},</v>
      </c>
    </row>
    <row r="11" spans="1:87" s="25" customFormat="1">
      <c r="A11" s="73" t="str">
        <f>_xlfn.CONCAT(B11:CI11)</f>
        <v>{"id":"VLJ","type":0,"Code":"L35","serial":"432","deliniator":"43","Performance":"C","Color":"Silver","Manufacturer":"Bombardier","WakeCategory":"M","profiles":[],"Engines":[],"Engine":"","Equipment" : {"SurveillanceEquipment":"EB1","PBN":"A1O2S1","EquipmentInformation":"SDGHURZW","SafetyEquipment":"FG","EmergencyRadio":"0","NumberDinghies":"0","DinghiesCovered":"0","DinghyCapacity" : "0","DinghyColor":"0"},"STS":"","FuelCapacity":"6238","ReserveFuel":"520","FinalReserveTime":"30","ContingencyReserveFuel":"10","ContingencyFuelMinimum":"0","TaxiFuel":"150","ClimbBurn":"2000","AWKBurn":"1500","HoverBurn":"1040","HoldingTas":"200","PlannedTas":"430","ClimbTas":"400","CruiseTas":"","GlideTas":"200","DescentTas":"300","LoiterTas":"200","DescentRate":"2000","ClimbRate":"2000","GlideRatio":"10","ServiceCeiling":"45000"},</v>
      </c>
      <c r="B11" s="25" t="s">
        <v>71</v>
      </c>
      <c r="C11" s="25" t="str">
        <f t="shared" si="1"/>
        <v>"id":"</v>
      </c>
      <c r="D11" s="25" t="s">
        <v>148</v>
      </c>
      <c r="E11" s="25" t="str">
        <f t="shared" si="2"/>
        <v>",</v>
      </c>
      <c r="F11" s="25" t="str">
        <f t="shared" si="2"/>
        <v>"type":</v>
      </c>
      <c r="G11" s="25" t="s">
        <v>70</v>
      </c>
      <c r="H11" s="25" t="str">
        <f t="shared" si="3"/>
        <v>,"Code":"</v>
      </c>
      <c r="I11" s="25" t="s">
        <v>131</v>
      </c>
      <c r="J11" s="25" t="str">
        <f t="shared" si="4"/>
        <v>","serial":"</v>
      </c>
      <c r="K11" s="25">
        <v>432</v>
      </c>
      <c r="L11" s="25" t="str">
        <f t="shared" si="5"/>
        <v>","deliniator":"</v>
      </c>
      <c r="M11" s="25" t="str">
        <f t="shared" si="0"/>
        <v>43</v>
      </c>
      <c r="N11" s="25" t="str">
        <f t="shared" si="6"/>
        <v>","Performance":"</v>
      </c>
      <c r="O11" s="25" t="s">
        <v>136</v>
      </c>
      <c r="P11" s="25" t="str">
        <f t="shared" si="7"/>
        <v>","Color":"</v>
      </c>
      <c r="Q11" s="25" t="s">
        <v>150</v>
      </c>
      <c r="R11" s="25" t="str">
        <f t="shared" si="8"/>
        <v>","Manufacturer":"</v>
      </c>
      <c r="S11" s="25" t="s">
        <v>138</v>
      </c>
      <c r="T11" s="25" t="str">
        <f t="shared" si="9"/>
        <v>","WakeCategory":"</v>
      </c>
      <c r="U11" s="25" t="s">
        <v>139</v>
      </c>
      <c r="V11" s="25" t="str">
        <f t="shared" si="10"/>
        <v>","profiles":[],</v>
      </c>
      <c r="W11" s="25" t="str">
        <f t="shared" si="11"/>
        <v>"Engines":[],"Engine":"",</v>
      </c>
      <c r="X11" s="25" t="str">
        <f t="shared" si="12"/>
        <v>"Equipment" : {"SurveillanceEquipment":"</v>
      </c>
      <c r="Y11" s="25" t="s">
        <v>132</v>
      </c>
      <c r="Z11" s="25" t="str">
        <f t="shared" si="13"/>
        <v>","PBN":"</v>
      </c>
      <c r="AA11" s="25" t="s">
        <v>133</v>
      </c>
      <c r="AB11" s="25" t="str">
        <f t="shared" si="14"/>
        <v>","EquipmentInformation":"</v>
      </c>
      <c r="AC11" s="25" t="s">
        <v>149</v>
      </c>
      <c r="AD11" s="25" t="str">
        <f t="shared" si="15"/>
        <v>","SafetyEquipment":"</v>
      </c>
      <c r="AE11" s="25" t="s">
        <v>135</v>
      </c>
      <c r="AF11" s="25" t="str">
        <f t="shared" si="16"/>
        <v>","EmergencyRadio":"</v>
      </c>
      <c r="AG11" s="25" t="str">
        <f t="shared" si="17"/>
        <v>0</v>
      </c>
      <c r="AH11" s="25" t="str">
        <f t="shared" si="18"/>
        <v>","NumberDinghies":"0","DinghiesCovered":"0","DinghyCapacity" : "0","DinghyColor":"0"},"STS":"</v>
      </c>
      <c r="AJ11" s="25" t="str">
        <f t="shared" si="19"/>
        <v>",</v>
      </c>
      <c r="AO11" s="25" t="str">
        <f t="shared" si="20"/>
        <v>"FuelCapacity":"</v>
      </c>
      <c r="AR11" s="25">
        <v>6238</v>
      </c>
      <c r="AS11" s="25" t="str">
        <f t="shared" si="21"/>
        <v>",</v>
      </c>
      <c r="AU11" s="25" t="str">
        <f t="shared" si="22"/>
        <v>"ReserveFuel":"</v>
      </c>
      <c r="AV11" s="25">
        <v>520</v>
      </c>
      <c r="AW11" s="25" t="str">
        <f t="shared" si="23"/>
        <v>"</v>
      </c>
      <c r="AY11" s="25" t="str">
        <f t="shared" si="24"/>
        <v>,"FinalReserveTime":"</v>
      </c>
      <c r="AZ11" s="25">
        <v>30</v>
      </c>
      <c r="BA11" s="25" t="str">
        <f t="shared" si="25"/>
        <v>","ContingencyReserveFuel":"</v>
      </c>
      <c r="BB11" s="25">
        <v>10</v>
      </c>
      <c r="BC11" s="25" t="str">
        <f t="shared" si="26"/>
        <v>","ContingencyFuelMinimum":"</v>
      </c>
      <c r="BD11" s="25">
        <v>0</v>
      </c>
      <c r="BE11" s="25" t="str">
        <f t="shared" si="27"/>
        <v>","TaxiFuel":"</v>
      </c>
      <c r="BF11" s="25">
        <v>150</v>
      </c>
      <c r="BG11" s="25" t="str">
        <f t="shared" si="28"/>
        <v>","ClimbBurn":"</v>
      </c>
      <c r="BH11" s="25">
        <v>2000</v>
      </c>
      <c r="BI11" s="25" t="str">
        <f t="shared" si="29"/>
        <v>","AWKBurn":"</v>
      </c>
      <c r="BJ11" s="25" t="s">
        <v>213</v>
      </c>
      <c r="BK11" s="25" t="str">
        <f t="shared" si="30"/>
        <v>","HoverBurn":"</v>
      </c>
      <c r="BL11" s="25">
        <v>1040</v>
      </c>
      <c r="BM11" s="25" t="str">
        <f t="shared" si="31"/>
        <v>","HoldingTas":"</v>
      </c>
      <c r="BN11" s="25" t="s">
        <v>665</v>
      </c>
      <c r="BO11" s="25" t="str">
        <f t="shared" si="32"/>
        <v>","PlannedTas":"</v>
      </c>
      <c r="BP11" s="25">
        <v>430</v>
      </c>
      <c r="BQ11" s="25" t="str">
        <f t="shared" si="33"/>
        <v>","ClimbTas":"</v>
      </c>
      <c r="BR11" s="25">
        <v>400</v>
      </c>
      <c r="BS11" s="25" t="str">
        <f t="shared" si="34"/>
        <v>","CruiseTas":"</v>
      </c>
      <c r="BU11" s="25" t="str">
        <f t="shared" si="35"/>
        <v>","GlideTas":"</v>
      </c>
      <c r="BV11" s="25">
        <v>200</v>
      </c>
      <c r="BW11" s="25" t="str">
        <f t="shared" si="36"/>
        <v>","DescentTas":"</v>
      </c>
      <c r="BX11" s="25">
        <v>300</v>
      </c>
      <c r="BY11" s="25" t="str">
        <f t="shared" si="37"/>
        <v>","LoiterTas":"</v>
      </c>
      <c r="BZ11" s="25">
        <v>200</v>
      </c>
      <c r="CA11" s="25" t="str">
        <f t="shared" si="38"/>
        <v>","DescentRate":"</v>
      </c>
      <c r="CB11" s="25">
        <v>2000</v>
      </c>
      <c r="CC11" s="25" t="str">
        <f t="shared" si="39"/>
        <v>","ClimbRate":"</v>
      </c>
      <c r="CD11" s="25">
        <v>2000</v>
      </c>
      <c r="CE11" s="25" t="str">
        <f t="shared" si="40"/>
        <v>","GlideRatio":"</v>
      </c>
      <c r="CF11" s="25">
        <v>10</v>
      </c>
      <c r="CG11" s="25" t="str">
        <f t="shared" si="41"/>
        <v>","ServiceCeiling":"</v>
      </c>
      <c r="CH11" s="25">
        <v>45000</v>
      </c>
      <c r="CI11" s="25" t="str">
        <f t="shared" si="42"/>
        <v>"},</v>
      </c>
    </row>
    <row r="12" spans="1:87" s="25" customFormat="1">
      <c r="A12" s="73" t="str">
        <f>_xlfn.CONCAT(B12:CI12)</f>
        <v>{"id":"LFA","type":0,"Code":"L35","serial":"444","deliniator":"44","Performance":"C","Color":"White","Manufacturer":"Bombardier","WakeCategory":"M","profiles":[],"Engines":[],"Engine":"","Equipment" : {"SurveillanceEquipment":"EB1","PBN":"A1O2S2","EquipmentInformation":"SDFGHURZW","SafetyEquipment":"FG","EmergencyRadio":"0","NumberDinghies":"0","DinghiesCovered":"0","DinghyCapacity" : "0","DinghyColor":"0"},"STS":"","FuelCapacity":"6238","ReserveFuel":"520","FinalReserveTime":"30","ContingencyReserveFuel":"10","ContingencyFuelMinimum":"0","TaxiFuel":"150","ClimbBurn":"2000","AWKBurn":"1500","HoverBurn":"1040","HoldingTas":"200","PlannedTas":"430","ClimbTas":"400","CruiseTas":"","GlideTas":"200","DescentTas":"300","LoiterTas":"200","DescentRate":"2000","ClimbRate":"2000","GlideRatio":"10","ServiceCeiling":"45000"},</v>
      </c>
      <c r="B12" s="25" t="s">
        <v>71</v>
      </c>
      <c r="C12" s="25" t="str">
        <f t="shared" si="1"/>
        <v>"id":"</v>
      </c>
      <c r="D12" s="25" t="s">
        <v>151</v>
      </c>
      <c r="E12" s="25" t="str">
        <f t="shared" si="2"/>
        <v>",</v>
      </c>
      <c r="F12" s="25" t="str">
        <f t="shared" si="2"/>
        <v>"type":</v>
      </c>
      <c r="G12" s="25" t="s">
        <v>70</v>
      </c>
      <c r="H12" s="25" t="str">
        <f t="shared" si="3"/>
        <v>,"Code":"</v>
      </c>
      <c r="I12" s="25" t="s">
        <v>131</v>
      </c>
      <c r="J12" s="25" t="str">
        <f t="shared" si="4"/>
        <v>","serial":"</v>
      </c>
      <c r="K12" s="25">
        <v>444</v>
      </c>
      <c r="L12" s="25" t="str">
        <f t="shared" si="5"/>
        <v>","deliniator":"</v>
      </c>
      <c r="M12" s="25" t="str">
        <f t="shared" si="0"/>
        <v>44</v>
      </c>
      <c r="N12" s="25" t="str">
        <f t="shared" si="6"/>
        <v>","Performance":"</v>
      </c>
      <c r="O12" s="25" t="s">
        <v>136</v>
      </c>
      <c r="P12" s="25" t="str">
        <f t="shared" si="7"/>
        <v>","Color":"</v>
      </c>
      <c r="Q12" s="25" t="s">
        <v>141</v>
      </c>
      <c r="R12" s="25" t="str">
        <f t="shared" si="8"/>
        <v>","Manufacturer":"</v>
      </c>
      <c r="S12" s="25" t="s">
        <v>138</v>
      </c>
      <c r="T12" s="25" t="str">
        <f t="shared" si="9"/>
        <v>","WakeCategory":"</v>
      </c>
      <c r="U12" s="25" t="s">
        <v>139</v>
      </c>
      <c r="V12" s="25" t="str">
        <f t="shared" si="10"/>
        <v>","profiles":[],</v>
      </c>
      <c r="W12" s="25" t="str">
        <f t="shared" si="11"/>
        <v>"Engines":[],"Engine":"",</v>
      </c>
      <c r="X12" s="25" t="str">
        <f t="shared" si="12"/>
        <v>"Equipment" : {"SurveillanceEquipment":"</v>
      </c>
      <c r="Y12" s="25" t="s">
        <v>132</v>
      </c>
      <c r="Z12" s="25" t="str">
        <f t="shared" si="13"/>
        <v>","PBN":"</v>
      </c>
      <c r="AA12" s="25" t="s">
        <v>146</v>
      </c>
      <c r="AB12" s="25" t="str">
        <f t="shared" si="14"/>
        <v>","EquipmentInformation":"</v>
      </c>
      <c r="AC12" s="25" t="s">
        <v>134</v>
      </c>
      <c r="AD12" s="25" t="str">
        <f t="shared" si="15"/>
        <v>","SafetyEquipment":"</v>
      </c>
      <c r="AE12" s="25" t="s">
        <v>135</v>
      </c>
      <c r="AF12" s="25" t="str">
        <f t="shared" si="16"/>
        <v>","EmergencyRadio":"</v>
      </c>
      <c r="AG12" s="25" t="str">
        <f t="shared" si="17"/>
        <v>0</v>
      </c>
      <c r="AH12" s="25" t="str">
        <f t="shared" si="18"/>
        <v>","NumberDinghies":"0","DinghiesCovered":"0","DinghyCapacity" : "0","DinghyColor":"0"},"STS":"</v>
      </c>
      <c r="AJ12" s="25" t="str">
        <f t="shared" si="19"/>
        <v>",</v>
      </c>
      <c r="AO12" s="25" t="str">
        <f t="shared" si="20"/>
        <v>"FuelCapacity":"</v>
      </c>
      <c r="AR12" s="25">
        <v>6238</v>
      </c>
      <c r="AS12" s="25" t="str">
        <f t="shared" si="21"/>
        <v>",</v>
      </c>
      <c r="AU12" s="25" t="str">
        <f t="shared" si="22"/>
        <v>"ReserveFuel":"</v>
      </c>
      <c r="AV12" s="25">
        <v>520</v>
      </c>
      <c r="AW12" s="25" t="str">
        <f t="shared" si="23"/>
        <v>"</v>
      </c>
      <c r="AY12" s="25" t="str">
        <f t="shared" si="24"/>
        <v>,"FinalReserveTime":"</v>
      </c>
      <c r="AZ12" s="25">
        <v>30</v>
      </c>
      <c r="BA12" s="25" t="str">
        <f t="shared" si="25"/>
        <v>","ContingencyReserveFuel":"</v>
      </c>
      <c r="BB12" s="25">
        <v>10</v>
      </c>
      <c r="BC12" s="25" t="str">
        <f t="shared" si="26"/>
        <v>","ContingencyFuelMinimum":"</v>
      </c>
      <c r="BD12" s="25">
        <v>0</v>
      </c>
      <c r="BE12" s="25" t="str">
        <f t="shared" si="27"/>
        <v>","TaxiFuel":"</v>
      </c>
      <c r="BF12" s="25">
        <v>150</v>
      </c>
      <c r="BG12" s="25" t="str">
        <f t="shared" si="28"/>
        <v>","ClimbBurn":"</v>
      </c>
      <c r="BH12" s="25">
        <v>2000</v>
      </c>
      <c r="BI12" s="25" t="str">
        <f t="shared" si="29"/>
        <v>","AWKBurn":"</v>
      </c>
      <c r="BJ12" s="25" t="s">
        <v>213</v>
      </c>
      <c r="BK12" s="25" t="str">
        <f t="shared" si="30"/>
        <v>","HoverBurn":"</v>
      </c>
      <c r="BL12" s="25">
        <v>1040</v>
      </c>
      <c r="BM12" s="25" t="str">
        <f t="shared" si="31"/>
        <v>","HoldingTas":"</v>
      </c>
      <c r="BN12" s="25" t="s">
        <v>665</v>
      </c>
      <c r="BO12" s="25" t="str">
        <f t="shared" si="32"/>
        <v>","PlannedTas":"</v>
      </c>
      <c r="BP12" s="25">
        <v>430</v>
      </c>
      <c r="BQ12" s="25" t="str">
        <f t="shared" si="33"/>
        <v>","ClimbTas":"</v>
      </c>
      <c r="BR12" s="25">
        <v>400</v>
      </c>
      <c r="BS12" s="25" t="str">
        <f t="shared" si="34"/>
        <v>","CruiseTas":"</v>
      </c>
      <c r="BU12" s="25" t="str">
        <f t="shared" si="35"/>
        <v>","GlideTas":"</v>
      </c>
      <c r="BV12" s="25">
        <v>200</v>
      </c>
      <c r="BW12" s="25" t="str">
        <f t="shared" si="36"/>
        <v>","DescentTas":"</v>
      </c>
      <c r="BX12" s="25">
        <v>300</v>
      </c>
      <c r="BY12" s="25" t="str">
        <f t="shared" si="37"/>
        <v>","LoiterTas":"</v>
      </c>
      <c r="BZ12" s="25">
        <v>200</v>
      </c>
      <c r="CA12" s="25" t="str">
        <f t="shared" si="38"/>
        <v>","DescentRate":"</v>
      </c>
      <c r="CB12" s="25">
        <v>2000</v>
      </c>
      <c r="CC12" s="25" t="str">
        <f t="shared" si="39"/>
        <v>","ClimbRate":"</v>
      </c>
      <c r="CD12" s="25">
        <v>2000</v>
      </c>
      <c r="CE12" s="25" t="str">
        <f t="shared" si="40"/>
        <v>","GlideRatio":"</v>
      </c>
      <c r="CF12" s="25">
        <v>10</v>
      </c>
      <c r="CG12" s="25" t="str">
        <f t="shared" si="41"/>
        <v>","ServiceCeiling":"</v>
      </c>
      <c r="CH12" s="25">
        <v>45000</v>
      </c>
      <c r="CI12" s="25" t="str">
        <f t="shared" si="42"/>
        <v>"},</v>
      </c>
    </row>
    <row r="13" spans="1:87" s="25" customFormat="1">
      <c r="A13" s="73" t="str">
        <f>_xlfn.CONCAT(B13:CI13)</f>
        <v>{"id":"LRH","type":1,"Code":"L35","serial":"527","deliniator":"52","Performance":"C","Color":"White","Manufacturer":"Bombardier","WakeCategory":"M","profiles":[],"Engines":[],"Engine":"","Equipment" : {"SurveillanceEquipment":"EB1","PBN":"O2S1","EquipmentInformation":"SDFGHURZW","SafetyEquipment":"FG","EmergencyRadio":"0","NumberDinghies":"0","DinghiesCovered":"0","DinghyCapacity" : "0","DinghyColor":"0"},"STS":"","FuelCapacity":"6988","ReserveFuel":"520","FinalReserveTime":"30","ContingencyReserveFuel":"10","ContingencyFuelMinimum":"0","TaxiFuel":"150","ClimbBurn":"2000","AWKBurn":"1500","HoverBurn":"1040","HoldingTas":"200","PlannedTas":"430","ClimbTas":"400","CruiseTas":"","GlideTas":"200","DescentTas":"300","LoiterTas":"200","DescentRate":"2000","ClimbRate":"2000","GlideRatio":"10","ServiceCeiling":"45000"},</v>
      </c>
      <c r="B13" s="25" t="s">
        <v>71</v>
      </c>
      <c r="C13" s="25" t="str">
        <f t="shared" si="1"/>
        <v>"id":"</v>
      </c>
      <c r="D13" s="25" t="s">
        <v>152</v>
      </c>
      <c r="E13" s="25" t="str">
        <f t="shared" si="2"/>
        <v>",</v>
      </c>
      <c r="F13" s="25" t="str">
        <f t="shared" si="2"/>
        <v>"type":</v>
      </c>
      <c r="G13" s="25" t="s">
        <v>687</v>
      </c>
      <c r="H13" s="25" t="str">
        <f t="shared" si="3"/>
        <v>,"Code":"</v>
      </c>
      <c r="I13" s="25" t="s">
        <v>131</v>
      </c>
      <c r="J13" s="25" t="str">
        <f t="shared" si="4"/>
        <v>","serial":"</v>
      </c>
      <c r="K13" s="25">
        <v>527</v>
      </c>
      <c r="L13" s="25" t="str">
        <f t="shared" si="5"/>
        <v>","deliniator":"</v>
      </c>
      <c r="M13" s="25" t="str">
        <f t="shared" si="0"/>
        <v>52</v>
      </c>
      <c r="N13" s="25" t="str">
        <f t="shared" si="6"/>
        <v>","Performance":"</v>
      </c>
      <c r="O13" s="25" t="s">
        <v>136</v>
      </c>
      <c r="P13" s="25" t="str">
        <f t="shared" si="7"/>
        <v>","Color":"</v>
      </c>
      <c r="Q13" s="25" t="s">
        <v>141</v>
      </c>
      <c r="R13" s="25" t="str">
        <f t="shared" si="8"/>
        <v>","Manufacturer":"</v>
      </c>
      <c r="S13" s="25" t="s">
        <v>138</v>
      </c>
      <c r="T13" s="25" t="str">
        <f t="shared" si="9"/>
        <v>","WakeCategory":"</v>
      </c>
      <c r="U13" s="25" t="s">
        <v>139</v>
      </c>
      <c r="V13" s="25" t="str">
        <f t="shared" si="10"/>
        <v>","profiles":[],</v>
      </c>
      <c r="W13" s="25" t="str">
        <f t="shared" si="11"/>
        <v>"Engines":[],"Engine":"",</v>
      </c>
      <c r="X13" s="25" t="str">
        <f t="shared" si="12"/>
        <v>"Equipment" : {"SurveillanceEquipment":"</v>
      </c>
      <c r="Y13" s="25" t="s">
        <v>132</v>
      </c>
      <c r="Z13" s="25" t="str">
        <f t="shared" si="13"/>
        <v>","PBN":"</v>
      </c>
      <c r="AA13" s="25" t="s">
        <v>153</v>
      </c>
      <c r="AB13" s="25" t="str">
        <f t="shared" si="14"/>
        <v>","EquipmentInformation":"</v>
      </c>
      <c r="AC13" s="25" t="s">
        <v>134</v>
      </c>
      <c r="AD13" s="25" t="str">
        <f t="shared" si="15"/>
        <v>","SafetyEquipment":"</v>
      </c>
      <c r="AE13" s="25" t="s">
        <v>135</v>
      </c>
      <c r="AF13" s="25" t="str">
        <f t="shared" si="16"/>
        <v>","EmergencyRadio":"</v>
      </c>
      <c r="AG13" s="25" t="str">
        <f t="shared" si="17"/>
        <v>0</v>
      </c>
      <c r="AH13" s="25" t="str">
        <f t="shared" si="18"/>
        <v>","NumberDinghies":"0","DinghiesCovered":"0","DinghyCapacity" : "0","DinghyColor":"0"},"STS":"</v>
      </c>
      <c r="AJ13" s="25" t="str">
        <f t="shared" si="19"/>
        <v>",</v>
      </c>
      <c r="AO13" s="25" t="str">
        <f t="shared" si="20"/>
        <v>"FuelCapacity":"</v>
      </c>
      <c r="AR13" s="25">
        <v>6988</v>
      </c>
      <c r="AS13" s="25" t="str">
        <f t="shared" si="21"/>
        <v>",</v>
      </c>
      <c r="AU13" s="25" t="str">
        <f t="shared" si="22"/>
        <v>"ReserveFuel":"</v>
      </c>
      <c r="AV13" s="25">
        <v>520</v>
      </c>
      <c r="AW13" s="25" t="str">
        <f t="shared" si="23"/>
        <v>"</v>
      </c>
      <c r="AY13" s="25" t="str">
        <f t="shared" si="24"/>
        <v>,"FinalReserveTime":"</v>
      </c>
      <c r="AZ13" s="25">
        <v>30</v>
      </c>
      <c r="BA13" s="25" t="str">
        <f t="shared" si="25"/>
        <v>","ContingencyReserveFuel":"</v>
      </c>
      <c r="BB13" s="25">
        <v>10</v>
      </c>
      <c r="BC13" s="25" t="str">
        <f t="shared" si="26"/>
        <v>","ContingencyFuelMinimum":"</v>
      </c>
      <c r="BD13" s="25">
        <v>0</v>
      </c>
      <c r="BE13" s="25" t="str">
        <f t="shared" si="27"/>
        <v>","TaxiFuel":"</v>
      </c>
      <c r="BF13" s="25">
        <v>150</v>
      </c>
      <c r="BG13" s="25" t="str">
        <f t="shared" si="28"/>
        <v>","ClimbBurn":"</v>
      </c>
      <c r="BH13" s="25">
        <v>2000</v>
      </c>
      <c r="BI13" s="25" t="str">
        <f t="shared" si="29"/>
        <v>","AWKBurn":"</v>
      </c>
      <c r="BJ13" s="25" t="s">
        <v>213</v>
      </c>
      <c r="BK13" s="25" t="str">
        <f t="shared" si="30"/>
        <v>","HoverBurn":"</v>
      </c>
      <c r="BL13" s="25">
        <v>1040</v>
      </c>
      <c r="BM13" s="25" t="str">
        <f t="shared" si="31"/>
        <v>","HoldingTas":"</v>
      </c>
      <c r="BN13" s="25" t="s">
        <v>665</v>
      </c>
      <c r="BO13" s="25" t="str">
        <f t="shared" si="32"/>
        <v>","PlannedTas":"</v>
      </c>
      <c r="BP13" s="25">
        <v>430</v>
      </c>
      <c r="BQ13" s="25" t="str">
        <f t="shared" si="33"/>
        <v>","ClimbTas":"</v>
      </c>
      <c r="BR13" s="25">
        <v>400</v>
      </c>
      <c r="BS13" s="25" t="str">
        <f t="shared" si="34"/>
        <v>","CruiseTas":"</v>
      </c>
      <c r="BU13" s="25" t="str">
        <f t="shared" si="35"/>
        <v>","GlideTas":"</v>
      </c>
      <c r="BV13" s="25">
        <v>200</v>
      </c>
      <c r="BW13" s="25" t="str">
        <f t="shared" si="36"/>
        <v>","DescentTas":"</v>
      </c>
      <c r="BX13" s="25">
        <v>300</v>
      </c>
      <c r="BY13" s="25" t="str">
        <f t="shared" si="37"/>
        <v>","LoiterTas":"</v>
      </c>
      <c r="BZ13" s="25">
        <v>200</v>
      </c>
      <c r="CA13" s="25" t="str">
        <f t="shared" si="38"/>
        <v>","DescentRate":"</v>
      </c>
      <c r="CB13" s="25">
        <v>2000</v>
      </c>
      <c r="CC13" s="25" t="str">
        <f t="shared" si="39"/>
        <v>","ClimbRate":"</v>
      </c>
      <c r="CD13" s="25">
        <v>2000</v>
      </c>
      <c r="CE13" s="25" t="str">
        <f t="shared" si="40"/>
        <v>","GlideRatio":"</v>
      </c>
      <c r="CF13" s="25">
        <v>10</v>
      </c>
      <c r="CG13" s="25" t="str">
        <f t="shared" si="41"/>
        <v>","ServiceCeiling":"</v>
      </c>
      <c r="CH13" s="25">
        <v>45000</v>
      </c>
      <c r="CI13" s="25" t="str">
        <f t="shared" si="42"/>
        <v>"},</v>
      </c>
    </row>
    <row r="14" spans="1:87" s="25" customFormat="1">
      <c r="A14" s="73" t="str">
        <f>_xlfn.CONCAT(B14:CI14)</f>
        <v>{"id":"SLF","type":2,"Code":"L36","serial":"049","deliniator":"04","Performance":"C","Color":"White","Manufacturer":"Bombardier","WakeCategory":"M","profiles":[],"Engines":[],"Engine":"","Equipment" : {"SurveillanceEquipment":"EB1","PBN":"A1O2S2","EquipmentInformation":"SDFGHURZW","SafetyEquipment":"FG","EmergencyRadio":"0","NumberDinghies":"0","DinghiesCovered":"0","DinghyCapacity" : "0","DinghyColor":"0"},"STS":"","FuelCapacity":"7400","ReserveFuel":"520","FinalReserveTime":"30","ContingencyReserveFuel":"10","ContingencyFuelMinimum":"0","TaxiFuel":"150","ClimbBurn":"2000","AWKBurn":"1500","HoverBurn":"1040","HoldingTas":"200","PlannedTas":"430","ClimbTas":"400","CruiseTas":"","GlideTas":"200","DescentTas":"300","LoiterTas":"200","DescentRate":"2000","ClimbRate":"2000","GlideRatio":"10","ServiceCeiling":"45000"},</v>
      </c>
      <c r="B14" s="25" t="s">
        <v>71</v>
      </c>
      <c r="C14" s="25" t="str">
        <f t="shared" si="1"/>
        <v>"id":"</v>
      </c>
      <c r="D14" s="25" t="s">
        <v>17</v>
      </c>
      <c r="E14" s="25" t="str">
        <f t="shared" si="2"/>
        <v>",</v>
      </c>
      <c r="F14" s="25" t="str">
        <f t="shared" si="2"/>
        <v>"type":</v>
      </c>
      <c r="G14" s="25" t="s">
        <v>688</v>
      </c>
      <c r="H14" s="25" t="str">
        <f t="shared" si="3"/>
        <v>,"Code":"</v>
      </c>
      <c r="I14" s="25" t="s">
        <v>685</v>
      </c>
      <c r="J14" s="25" t="str">
        <f t="shared" si="4"/>
        <v>","serial":"</v>
      </c>
      <c r="K14" s="25" t="str">
        <f>"049"</f>
        <v>049</v>
      </c>
      <c r="L14" s="25" t="str">
        <f t="shared" si="5"/>
        <v>","deliniator":"</v>
      </c>
      <c r="M14" s="25" t="str">
        <f t="shared" si="0"/>
        <v>04</v>
      </c>
      <c r="N14" s="25" t="str">
        <f t="shared" si="6"/>
        <v>","Performance":"</v>
      </c>
      <c r="O14" s="25" t="s">
        <v>136</v>
      </c>
      <c r="P14" s="25" t="str">
        <f t="shared" si="7"/>
        <v>","Color":"</v>
      </c>
      <c r="Q14" s="25" t="s">
        <v>141</v>
      </c>
      <c r="R14" s="25" t="str">
        <f t="shared" si="8"/>
        <v>","Manufacturer":"</v>
      </c>
      <c r="S14" s="25" t="s">
        <v>138</v>
      </c>
      <c r="T14" s="25" t="str">
        <f t="shared" si="9"/>
        <v>","WakeCategory":"</v>
      </c>
      <c r="U14" s="25" t="s">
        <v>139</v>
      </c>
      <c r="V14" s="25" t="str">
        <f t="shared" si="10"/>
        <v>","profiles":[],</v>
      </c>
      <c r="W14" s="25" t="str">
        <f t="shared" si="11"/>
        <v>"Engines":[],"Engine":"",</v>
      </c>
      <c r="X14" s="25" t="str">
        <f t="shared" si="12"/>
        <v>"Equipment" : {"SurveillanceEquipment":"</v>
      </c>
      <c r="Y14" s="25" t="s">
        <v>132</v>
      </c>
      <c r="Z14" s="25" t="str">
        <f t="shared" si="13"/>
        <v>","PBN":"</v>
      </c>
      <c r="AA14" s="25" t="s">
        <v>146</v>
      </c>
      <c r="AB14" s="25" t="str">
        <f t="shared" si="14"/>
        <v>","EquipmentInformation":"</v>
      </c>
      <c r="AC14" s="25" t="s">
        <v>134</v>
      </c>
      <c r="AD14" s="25" t="str">
        <f t="shared" si="15"/>
        <v>","SafetyEquipment":"</v>
      </c>
      <c r="AE14" s="25" t="s">
        <v>135</v>
      </c>
      <c r="AF14" s="25" t="str">
        <f t="shared" si="16"/>
        <v>","EmergencyRadio":"</v>
      </c>
      <c r="AG14" s="25" t="str">
        <f t="shared" si="17"/>
        <v>0</v>
      </c>
      <c r="AH14" s="25" t="str">
        <f t="shared" si="18"/>
        <v>","NumberDinghies":"0","DinghiesCovered":"0","DinghyCapacity" : "0","DinghyColor":"0"},"STS":"</v>
      </c>
      <c r="AJ14" s="25" t="str">
        <f t="shared" si="19"/>
        <v>",</v>
      </c>
      <c r="AO14" s="25" t="str">
        <f t="shared" si="20"/>
        <v>"FuelCapacity":"</v>
      </c>
      <c r="AR14" s="25">
        <v>7400</v>
      </c>
      <c r="AS14" s="25" t="str">
        <f t="shared" si="21"/>
        <v>",</v>
      </c>
      <c r="AU14" s="25" t="str">
        <f t="shared" si="22"/>
        <v>"ReserveFuel":"</v>
      </c>
      <c r="AV14" s="25">
        <v>520</v>
      </c>
      <c r="AW14" s="25" t="str">
        <f t="shared" si="23"/>
        <v>"</v>
      </c>
      <c r="AY14" s="25" t="str">
        <f t="shared" si="24"/>
        <v>,"FinalReserveTime":"</v>
      </c>
      <c r="AZ14" s="25">
        <v>30</v>
      </c>
      <c r="BA14" s="25" t="str">
        <f t="shared" si="25"/>
        <v>","ContingencyReserveFuel":"</v>
      </c>
      <c r="BB14" s="25">
        <v>10</v>
      </c>
      <c r="BC14" s="25" t="str">
        <f t="shared" si="26"/>
        <v>","ContingencyFuelMinimum":"</v>
      </c>
      <c r="BD14" s="25">
        <v>0</v>
      </c>
      <c r="BE14" s="25" t="str">
        <f t="shared" si="27"/>
        <v>","TaxiFuel":"</v>
      </c>
      <c r="BF14" s="25">
        <v>150</v>
      </c>
      <c r="BG14" s="25" t="str">
        <f t="shared" si="28"/>
        <v>","ClimbBurn":"</v>
      </c>
      <c r="BH14" s="25">
        <v>2000</v>
      </c>
      <c r="BI14" s="25" t="str">
        <f t="shared" si="29"/>
        <v>","AWKBurn":"</v>
      </c>
      <c r="BJ14" s="25" t="s">
        <v>213</v>
      </c>
      <c r="BK14" s="25" t="str">
        <f t="shared" si="30"/>
        <v>","HoverBurn":"</v>
      </c>
      <c r="BL14" s="25">
        <v>1040</v>
      </c>
      <c r="BM14" s="25" t="str">
        <f t="shared" si="31"/>
        <v>","HoldingTas":"</v>
      </c>
      <c r="BN14" s="25" t="s">
        <v>665</v>
      </c>
      <c r="BO14" s="25" t="str">
        <f t="shared" si="32"/>
        <v>","PlannedTas":"</v>
      </c>
      <c r="BP14" s="25">
        <v>430</v>
      </c>
      <c r="BQ14" s="25" t="str">
        <f t="shared" si="33"/>
        <v>","ClimbTas":"</v>
      </c>
      <c r="BR14" s="25">
        <v>400</v>
      </c>
      <c r="BS14" s="25" t="str">
        <f t="shared" si="34"/>
        <v>","CruiseTas":"</v>
      </c>
      <c r="BU14" s="25" t="str">
        <f t="shared" si="35"/>
        <v>","GlideTas":"</v>
      </c>
      <c r="BV14" s="25">
        <v>200</v>
      </c>
      <c r="BW14" s="25" t="str">
        <f t="shared" si="36"/>
        <v>","DescentTas":"</v>
      </c>
      <c r="BX14" s="25">
        <v>300</v>
      </c>
      <c r="BY14" s="25" t="str">
        <f t="shared" si="37"/>
        <v>","LoiterTas":"</v>
      </c>
      <c r="BZ14" s="25">
        <v>200</v>
      </c>
      <c r="CA14" s="25" t="str">
        <f t="shared" si="38"/>
        <v>","DescentRate":"</v>
      </c>
      <c r="CB14" s="25">
        <v>2000</v>
      </c>
      <c r="CC14" s="25" t="str">
        <f t="shared" si="39"/>
        <v>","ClimbRate":"</v>
      </c>
      <c r="CD14" s="25">
        <v>2000</v>
      </c>
      <c r="CE14" s="25" t="str">
        <f t="shared" si="40"/>
        <v>","GlideRatio":"</v>
      </c>
      <c r="CF14" s="25">
        <v>10</v>
      </c>
      <c r="CG14" s="25" t="str">
        <f t="shared" si="41"/>
        <v>","ServiceCeiling":"</v>
      </c>
      <c r="CH14" s="25">
        <v>45000</v>
      </c>
      <c r="CI14" s="25" t="str">
        <f t="shared" si="42"/>
        <v>"},</v>
      </c>
    </row>
    <row r="15" spans="1:87" s="25" customFormat="1">
      <c r="A15" s="73" t="str">
        <f>_xlfn.CONCAT(B15:CI15)</f>
        <v>{"id":"LJA","type":3,"Code":"L36","serial":"040","deliniator":"82","Performance":"C","Color":"White","Manufacturer":"Bombardier","WakeCategory":"M","profiles":[],"Engines":[],"Engine":"","Equipment" : {"SurveillanceEquipment":"EB1","PBN":"O2S1","EquipmentInformation":"SDFGHURZW","SafetyEquipment":"FG","EmergencyRadio":"0","NumberDinghies":"0","DinghiesCovered":"0","DinghyCapacity" : "0","DinghyColor":"0"},"STS":"","FuelCapacity":"8190","ReserveFuel":"520","FinalReserveTime":"30","ContingencyReserveFuel":"10","ContingencyFuelMinimum":"0","TaxiFuel":"150","ClimbBurn":"2000","AWKBurn":"1500","HoverBurn":"1040","HoldingTas":"200","PlannedTas":"430","ClimbTas":"400","CruiseTas":"","GlideTas":"200","DescentTas":"300","LoiterTas":"200","DescentRate":"2000","ClimbRate":"2000","GlideRatio":"10","ServiceCeiling":"45000"},</v>
      </c>
      <c r="B15" s="25" t="s">
        <v>71</v>
      </c>
      <c r="C15" s="25" t="str">
        <f t="shared" si="1"/>
        <v>"id":"</v>
      </c>
      <c r="D15" s="25" t="s">
        <v>154</v>
      </c>
      <c r="E15" s="25" t="str">
        <f t="shared" si="2"/>
        <v>",</v>
      </c>
      <c r="F15" s="25" t="str">
        <f t="shared" si="2"/>
        <v>"type":</v>
      </c>
      <c r="G15" s="25" t="s">
        <v>689</v>
      </c>
      <c r="H15" s="25" t="str">
        <f t="shared" si="3"/>
        <v>,"Code":"</v>
      </c>
      <c r="I15" s="25" t="s">
        <v>685</v>
      </c>
      <c r="J15" s="25" t="str">
        <f t="shared" si="4"/>
        <v>","serial":"</v>
      </c>
      <c r="K15" s="25" t="s">
        <v>155</v>
      </c>
      <c r="L15" s="25" t="str">
        <f t="shared" si="5"/>
        <v>","deliniator":"</v>
      </c>
      <c r="M15" s="25">
        <v>82</v>
      </c>
      <c r="N15" s="25" t="str">
        <f t="shared" si="6"/>
        <v>","Performance":"</v>
      </c>
      <c r="O15" s="25" t="s">
        <v>136</v>
      </c>
      <c r="P15" s="25" t="str">
        <f t="shared" si="7"/>
        <v>","Color":"</v>
      </c>
      <c r="Q15" s="25" t="s">
        <v>141</v>
      </c>
      <c r="R15" s="25" t="str">
        <f t="shared" si="8"/>
        <v>","Manufacturer":"</v>
      </c>
      <c r="S15" s="25" t="s">
        <v>138</v>
      </c>
      <c r="T15" s="25" t="str">
        <f t="shared" si="9"/>
        <v>","WakeCategory":"</v>
      </c>
      <c r="U15" s="25" t="s">
        <v>139</v>
      </c>
      <c r="V15" s="25" t="str">
        <f t="shared" si="10"/>
        <v>","profiles":[],</v>
      </c>
      <c r="W15" s="25" t="str">
        <f t="shared" si="11"/>
        <v>"Engines":[],"Engine":"",</v>
      </c>
      <c r="X15" s="25" t="str">
        <f t="shared" si="12"/>
        <v>"Equipment" : {"SurveillanceEquipment":"</v>
      </c>
      <c r="Y15" s="25" t="s">
        <v>132</v>
      </c>
      <c r="Z15" s="25" t="str">
        <f t="shared" si="13"/>
        <v>","PBN":"</v>
      </c>
      <c r="AA15" s="25" t="s">
        <v>153</v>
      </c>
      <c r="AB15" s="25" t="str">
        <f t="shared" si="14"/>
        <v>","EquipmentInformation":"</v>
      </c>
      <c r="AC15" s="25" t="s">
        <v>134</v>
      </c>
      <c r="AD15" s="25" t="str">
        <f t="shared" si="15"/>
        <v>","SafetyEquipment":"</v>
      </c>
      <c r="AE15" s="25" t="s">
        <v>135</v>
      </c>
      <c r="AF15" s="25" t="str">
        <f t="shared" si="16"/>
        <v>","EmergencyRadio":"</v>
      </c>
      <c r="AG15" s="25" t="str">
        <f t="shared" si="17"/>
        <v>0</v>
      </c>
      <c r="AH15" s="25" t="str">
        <f t="shared" si="18"/>
        <v>","NumberDinghies":"0","DinghiesCovered":"0","DinghyCapacity" : "0","DinghyColor":"0"},"STS":"</v>
      </c>
      <c r="AJ15" s="25" t="str">
        <f t="shared" si="19"/>
        <v>",</v>
      </c>
      <c r="AO15" s="25" t="str">
        <f t="shared" si="20"/>
        <v>"FuelCapacity":"</v>
      </c>
      <c r="AR15" s="25">
        <v>8190</v>
      </c>
      <c r="AS15" s="25" t="str">
        <f t="shared" si="21"/>
        <v>",</v>
      </c>
      <c r="AU15" s="25" t="str">
        <f t="shared" si="22"/>
        <v>"ReserveFuel":"</v>
      </c>
      <c r="AV15" s="25">
        <v>520</v>
      </c>
      <c r="AW15" s="25" t="str">
        <f t="shared" si="23"/>
        <v>"</v>
      </c>
      <c r="AY15" s="25" t="str">
        <f t="shared" si="24"/>
        <v>,"FinalReserveTime":"</v>
      </c>
      <c r="AZ15" s="25">
        <v>30</v>
      </c>
      <c r="BA15" s="25" t="str">
        <f t="shared" si="25"/>
        <v>","ContingencyReserveFuel":"</v>
      </c>
      <c r="BB15" s="25">
        <v>10</v>
      </c>
      <c r="BC15" s="25" t="str">
        <f t="shared" si="26"/>
        <v>","ContingencyFuelMinimum":"</v>
      </c>
      <c r="BD15" s="25">
        <v>0</v>
      </c>
      <c r="BE15" s="25" t="str">
        <f t="shared" si="27"/>
        <v>","TaxiFuel":"</v>
      </c>
      <c r="BF15" s="25">
        <v>150</v>
      </c>
      <c r="BG15" s="25" t="str">
        <f t="shared" si="28"/>
        <v>","ClimbBurn":"</v>
      </c>
      <c r="BH15" s="25">
        <v>2000</v>
      </c>
      <c r="BI15" s="25" t="str">
        <f t="shared" si="29"/>
        <v>","AWKBurn":"</v>
      </c>
      <c r="BJ15" s="25" t="s">
        <v>213</v>
      </c>
      <c r="BK15" s="25" t="str">
        <f t="shared" si="30"/>
        <v>","HoverBurn":"</v>
      </c>
      <c r="BL15" s="25">
        <v>1040</v>
      </c>
      <c r="BM15" s="25" t="str">
        <f t="shared" si="31"/>
        <v>","HoldingTas":"</v>
      </c>
      <c r="BN15" s="25" t="s">
        <v>665</v>
      </c>
      <c r="BO15" s="25" t="str">
        <f t="shared" si="32"/>
        <v>","PlannedTas":"</v>
      </c>
      <c r="BP15" s="25">
        <v>430</v>
      </c>
      <c r="BQ15" s="25" t="str">
        <f t="shared" si="33"/>
        <v>","ClimbTas":"</v>
      </c>
      <c r="BR15" s="25">
        <v>400</v>
      </c>
      <c r="BS15" s="25" t="str">
        <f t="shared" si="34"/>
        <v>","CruiseTas":"</v>
      </c>
      <c r="BU15" s="25" t="str">
        <f t="shared" si="35"/>
        <v>","GlideTas":"</v>
      </c>
      <c r="BV15" s="25">
        <v>200</v>
      </c>
      <c r="BW15" s="25" t="str">
        <f t="shared" si="36"/>
        <v>","DescentTas":"</v>
      </c>
      <c r="BX15" s="25">
        <v>300</v>
      </c>
      <c r="BY15" s="25" t="str">
        <f t="shared" si="37"/>
        <v>","LoiterTas":"</v>
      </c>
      <c r="BZ15" s="25">
        <v>200</v>
      </c>
      <c r="CA15" s="25" t="str">
        <f t="shared" si="38"/>
        <v>","DescentRate":"</v>
      </c>
      <c r="CB15" s="25">
        <v>2000</v>
      </c>
      <c r="CC15" s="25" t="str">
        <f t="shared" si="39"/>
        <v>","ClimbRate":"</v>
      </c>
      <c r="CD15" s="25">
        <v>2000</v>
      </c>
      <c r="CE15" s="25" t="str">
        <f t="shared" si="40"/>
        <v>","GlideRatio":"</v>
      </c>
      <c r="CF15" s="25">
        <v>10</v>
      </c>
      <c r="CG15" s="25" t="str">
        <f t="shared" si="41"/>
        <v>","ServiceCeiling":"</v>
      </c>
      <c r="CH15" s="25">
        <v>45000</v>
      </c>
      <c r="CI15" s="25" t="str">
        <f t="shared" si="42"/>
        <v>"},</v>
      </c>
    </row>
    <row r="16" spans="1:87" s="25" customFormat="1">
      <c r="A16" s="73" t="str">
        <f>_xlfn.CONCAT(B16:CI16)</f>
        <v>{"id":"SLJ","type":2,"Code":"L36","serial":"014","deliniator":"01","Performance":"C","Color":"White","Manufacturer":"Bombardier","WakeCategory":"M","profiles":[],"Engines":[],"Engine":"","Equipment" : {"SurveillanceEquipment":"EB1","PBN":"A1O2S1","EquipmentInformation":"SDFGHURZW","SafetyEquipment":"FG","EmergencyRadio":"0","NumberDinghies":"0","DinghiesCovered":"0","DinghyCapacity" : "0","DinghyColor":"0"},"STS":"","FuelCapacity":"7400","ReserveFuel":"520","FinalReserveTime":"30","ContingencyReserveFuel":"10","ContingencyFuelMinimum":"0","TaxiFuel":"150","ClimbBurn":"2000","AWKBurn":"1500","HoverBurn":"1040","HoldingTas":"200","PlannedTas":"430","ClimbTas":"400","CruiseTas":"","GlideTas":"200","DescentTas":"300","LoiterTas":"200","DescentRate":"2000","ClimbRate":"2000","GlideRatio":"10","ServiceCeiling":"45000"},</v>
      </c>
      <c r="B16" s="25" t="s">
        <v>71</v>
      </c>
      <c r="C16" s="25" t="str">
        <f t="shared" si="1"/>
        <v>"id":"</v>
      </c>
      <c r="D16" s="25" t="s">
        <v>156</v>
      </c>
      <c r="E16" s="25" t="str">
        <f t="shared" si="2"/>
        <v>",</v>
      </c>
      <c r="F16" s="25" t="str">
        <f t="shared" si="2"/>
        <v>"type":</v>
      </c>
      <c r="G16" s="25" t="s">
        <v>688</v>
      </c>
      <c r="H16" s="25" t="str">
        <f t="shared" si="3"/>
        <v>,"Code":"</v>
      </c>
      <c r="I16" s="25" t="s">
        <v>685</v>
      </c>
      <c r="J16" s="25" t="str">
        <f t="shared" si="4"/>
        <v>","serial":"</v>
      </c>
      <c r="K16" s="25" t="s">
        <v>157</v>
      </c>
      <c r="L16" s="25" t="str">
        <f t="shared" si="5"/>
        <v>","deliniator":"</v>
      </c>
      <c r="M16" s="25" t="str">
        <f t="shared" si="0"/>
        <v>01</v>
      </c>
      <c r="N16" s="25" t="str">
        <f t="shared" si="6"/>
        <v>","Performance":"</v>
      </c>
      <c r="O16" s="25" t="s">
        <v>136</v>
      </c>
      <c r="P16" s="25" t="str">
        <f t="shared" si="7"/>
        <v>","Color":"</v>
      </c>
      <c r="Q16" s="25" t="s">
        <v>141</v>
      </c>
      <c r="R16" s="25" t="str">
        <f t="shared" si="8"/>
        <v>","Manufacturer":"</v>
      </c>
      <c r="S16" s="25" t="s">
        <v>138</v>
      </c>
      <c r="T16" s="25" t="str">
        <f t="shared" si="9"/>
        <v>","WakeCategory":"</v>
      </c>
      <c r="U16" s="25" t="s">
        <v>139</v>
      </c>
      <c r="V16" s="25" t="str">
        <f t="shared" si="10"/>
        <v>","profiles":[],</v>
      </c>
      <c r="W16" s="25" t="str">
        <f t="shared" si="11"/>
        <v>"Engines":[],"Engine":"",</v>
      </c>
      <c r="X16" s="25" t="str">
        <f t="shared" si="12"/>
        <v>"Equipment" : {"SurveillanceEquipment":"</v>
      </c>
      <c r="Y16" s="25" t="s">
        <v>132</v>
      </c>
      <c r="Z16" s="25" t="str">
        <f t="shared" si="13"/>
        <v>","PBN":"</v>
      </c>
      <c r="AA16" s="25" t="s">
        <v>133</v>
      </c>
      <c r="AB16" s="25" t="str">
        <f t="shared" si="14"/>
        <v>","EquipmentInformation":"</v>
      </c>
      <c r="AC16" s="25" t="s">
        <v>134</v>
      </c>
      <c r="AD16" s="25" t="str">
        <f t="shared" si="15"/>
        <v>","SafetyEquipment":"</v>
      </c>
      <c r="AE16" s="25" t="s">
        <v>135</v>
      </c>
      <c r="AF16" s="25" t="str">
        <f t="shared" si="16"/>
        <v>","EmergencyRadio":"</v>
      </c>
      <c r="AG16" s="25" t="str">
        <f t="shared" si="17"/>
        <v>0</v>
      </c>
      <c r="AH16" s="25" t="str">
        <f t="shared" si="18"/>
        <v>","NumberDinghies":"0","DinghiesCovered":"0","DinghyCapacity" : "0","DinghyColor":"0"},"STS":"</v>
      </c>
      <c r="AJ16" s="25" t="str">
        <f t="shared" si="19"/>
        <v>",</v>
      </c>
      <c r="AO16" s="25" t="str">
        <f t="shared" si="20"/>
        <v>"FuelCapacity":"</v>
      </c>
      <c r="AR16" s="25">
        <v>7400</v>
      </c>
      <c r="AS16" s="25" t="str">
        <f t="shared" si="21"/>
        <v>",</v>
      </c>
      <c r="AU16" s="25" t="str">
        <f t="shared" si="22"/>
        <v>"ReserveFuel":"</v>
      </c>
      <c r="AV16" s="25">
        <v>520</v>
      </c>
      <c r="AW16" s="25" t="str">
        <f t="shared" si="23"/>
        <v>"</v>
      </c>
      <c r="AY16" s="25" t="str">
        <f t="shared" si="24"/>
        <v>,"FinalReserveTime":"</v>
      </c>
      <c r="AZ16" s="25">
        <v>30</v>
      </c>
      <c r="BA16" s="25" t="str">
        <f t="shared" si="25"/>
        <v>","ContingencyReserveFuel":"</v>
      </c>
      <c r="BB16" s="25">
        <v>10</v>
      </c>
      <c r="BC16" s="25" t="str">
        <f t="shared" si="26"/>
        <v>","ContingencyFuelMinimum":"</v>
      </c>
      <c r="BD16" s="25">
        <v>0</v>
      </c>
      <c r="BE16" s="25" t="str">
        <f t="shared" si="27"/>
        <v>","TaxiFuel":"</v>
      </c>
      <c r="BF16" s="25">
        <v>150</v>
      </c>
      <c r="BG16" s="25" t="str">
        <f t="shared" si="28"/>
        <v>","ClimbBurn":"</v>
      </c>
      <c r="BH16" s="25">
        <v>2000</v>
      </c>
      <c r="BI16" s="25" t="str">
        <f t="shared" si="29"/>
        <v>","AWKBurn":"</v>
      </c>
      <c r="BJ16" s="25" t="s">
        <v>213</v>
      </c>
      <c r="BK16" s="25" t="str">
        <f t="shared" si="30"/>
        <v>","HoverBurn":"</v>
      </c>
      <c r="BL16" s="25">
        <v>1040</v>
      </c>
      <c r="BM16" s="25" t="str">
        <f t="shared" si="31"/>
        <v>","HoldingTas":"</v>
      </c>
      <c r="BN16" s="25" t="s">
        <v>665</v>
      </c>
      <c r="BO16" s="25" t="str">
        <f t="shared" si="32"/>
        <v>","PlannedTas":"</v>
      </c>
      <c r="BP16" s="25">
        <v>430</v>
      </c>
      <c r="BQ16" s="25" t="str">
        <f t="shared" si="33"/>
        <v>","ClimbTas":"</v>
      </c>
      <c r="BR16" s="25">
        <v>400</v>
      </c>
      <c r="BS16" s="25" t="str">
        <f t="shared" si="34"/>
        <v>","CruiseTas":"</v>
      </c>
      <c r="BU16" s="25" t="str">
        <f t="shared" si="35"/>
        <v>","GlideTas":"</v>
      </c>
      <c r="BV16" s="25">
        <v>200</v>
      </c>
      <c r="BW16" s="25" t="str">
        <f t="shared" si="36"/>
        <v>","DescentTas":"</v>
      </c>
      <c r="BX16" s="25">
        <v>300</v>
      </c>
      <c r="BY16" s="25" t="str">
        <f t="shared" si="37"/>
        <v>","LoiterTas":"</v>
      </c>
      <c r="BZ16" s="25">
        <v>200</v>
      </c>
      <c r="CA16" s="25" t="str">
        <f t="shared" si="38"/>
        <v>","DescentRate":"</v>
      </c>
      <c r="CB16" s="25">
        <v>2000</v>
      </c>
      <c r="CC16" s="25" t="str">
        <f t="shared" si="39"/>
        <v>","ClimbRate":"</v>
      </c>
      <c r="CD16" s="25">
        <v>2000</v>
      </c>
      <c r="CE16" s="25" t="str">
        <f t="shared" si="40"/>
        <v>","GlideRatio":"</v>
      </c>
      <c r="CF16" s="25">
        <v>10</v>
      </c>
      <c r="CG16" s="25" t="str">
        <f t="shared" si="41"/>
        <v>","ServiceCeiling":"</v>
      </c>
      <c r="CH16" s="25">
        <v>45000</v>
      </c>
      <c r="CI16" s="25" t="str">
        <f t="shared" si="42"/>
        <v>"},</v>
      </c>
    </row>
    <row r="17" spans="1:87" s="25" customFormat="1">
      <c r="A17" s="73" t="str">
        <f>_xlfn.CONCAT(B17:CI17)</f>
        <v>{"id":"LPX","type":5,"Code":"L31","serial":"144","deliniator":"14","Performance":"C","Color":"White","Manufacturer":"Bombardier","WakeCategory":"M","profiles":[],"Engines":[],"Engine":"","Equipment" : {"SurveillanceEquipment":"EB1","PBN":"O2S2","EquipmentInformation":"SDFGHURZW","SafetyEquipment":"FG","EmergencyRadio":"0","NumberDinghies":"0","DinghiesCovered":"0","DinghyCapacity" : "0","DinghyColor":"0"},"STS":"","FuelCapacity":"4653","ReserveFuel":"485","FinalReserveTime":"30","ContingencyReserveFuel":"10","ContingencyFuelMinimum":"0","TaxiFuel":"100","ClimbBurn":"2000","AWKBurn":"1500","HoverBurn":"970","HoldingTas":"200","PlannedTas":"435","ClimbTas":"400","CruiseTas":"","GlideTas":"200","DescentTas":"300","LoiterTas":"200","DescentRate":"2000","ClimbRate":"2000","GlideRatio":"10","ServiceCeiling":"45000"},</v>
      </c>
      <c r="B17" s="25" t="s">
        <v>71</v>
      </c>
      <c r="C17" s="25" t="str">
        <f t="shared" si="1"/>
        <v>"id":"</v>
      </c>
      <c r="D17" s="25" t="s">
        <v>158</v>
      </c>
      <c r="E17" s="25" t="str">
        <f t="shared" si="2"/>
        <v>",</v>
      </c>
      <c r="F17" s="25" t="str">
        <f t="shared" si="2"/>
        <v>"type":</v>
      </c>
      <c r="G17" s="25" t="s">
        <v>691</v>
      </c>
      <c r="H17" s="25" t="str">
        <f t="shared" si="3"/>
        <v>,"Code":"</v>
      </c>
      <c r="I17" s="25" t="s">
        <v>159</v>
      </c>
      <c r="J17" s="25" t="str">
        <f t="shared" si="4"/>
        <v>","serial":"</v>
      </c>
      <c r="K17" s="25">
        <v>144</v>
      </c>
      <c r="L17" s="25" t="str">
        <f t="shared" si="5"/>
        <v>","deliniator":"</v>
      </c>
      <c r="M17" s="25" t="str">
        <f t="shared" si="0"/>
        <v>14</v>
      </c>
      <c r="N17" s="25" t="str">
        <f t="shared" si="6"/>
        <v>","Performance":"</v>
      </c>
      <c r="O17" s="25" t="s">
        <v>136</v>
      </c>
      <c r="P17" s="25" t="str">
        <f t="shared" si="7"/>
        <v>","Color":"</v>
      </c>
      <c r="Q17" s="25" t="s">
        <v>141</v>
      </c>
      <c r="R17" s="25" t="str">
        <f t="shared" si="8"/>
        <v>","Manufacturer":"</v>
      </c>
      <c r="S17" s="25" t="s">
        <v>138</v>
      </c>
      <c r="T17" s="25" t="str">
        <f t="shared" si="9"/>
        <v>","WakeCategory":"</v>
      </c>
      <c r="U17" s="25" t="s">
        <v>139</v>
      </c>
      <c r="V17" s="25" t="str">
        <f t="shared" si="10"/>
        <v>","profiles":[],</v>
      </c>
      <c r="W17" s="25" t="str">
        <f t="shared" si="11"/>
        <v>"Engines":[],"Engine":"",</v>
      </c>
      <c r="X17" s="25" t="str">
        <f t="shared" si="12"/>
        <v>"Equipment" : {"SurveillanceEquipment":"</v>
      </c>
      <c r="Y17" s="25" t="s">
        <v>132</v>
      </c>
      <c r="Z17" s="25" t="str">
        <f t="shared" si="13"/>
        <v>","PBN":"</v>
      </c>
      <c r="AA17" s="25" t="s">
        <v>160</v>
      </c>
      <c r="AB17" s="25" t="str">
        <f t="shared" si="14"/>
        <v>","EquipmentInformation":"</v>
      </c>
      <c r="AC17" s="25" t="s">
        <v>134</v>
      </c>
      <c r="AD17" s="25" t="str">
        <f t="shared" si="15"/>
        <v>","SafetyEquipment":"</v>
      </c>
      <c r="AE17" s="25" t="s">
        <v>135</v>
      </c>
      <c r="AF17" s="25" t="str">
        <f t="shared" si="16"/>
        <v>","EmergencyRadio":"</v>
      </c>
      <c r="AG17" s="25" t="str">
        <f t="shared" si="17"/>
        <v>0</v>
      </c>
      <c r="AH17" s="25" t="str">
        <f t="shared" si="18"/>
        <v>","NumberDinghies":"0","DinghiesCovered":"0","DinghyCapacity" : "0","DinghyColor":"0"},"STS":"</v>
      </c>
      <c r="AJ17" s="25" t="str">
        <f t="shared" si="19"/>
        <v>",</v>
      </c>
      <c r="AO17" s="25" t="str">
        <f t="shared" si="20"/>
        <v>"FuelCapacity":"</v>
      </c>
      <c r="AR17" s="25">
        <v>4653</v>
      </c>
      <c r="AS17" s="25" t="str">
        <f t="shared" si="21"/>
        <v>",</v>
      </c>
      <c r="AU17" s="25" t="str">
        <f t="shared" si="22"/>
        <v>"ReserveFuel":"</v>
      </c>
      <c r="AV17" s="25">
        <v>485</v>
      </c>
      <c r="AW17" s="25" t="str">
        <f t="shared" si="23"/>
        <v>"</v>
      </c>
      <c r="AY17" s="25" t="str">
        <f t="shared" si="24"/>
        <v>,"FinalReserveTime":"</v>
      </c>
      <c r="AZ17" s="25">
        <v>30</v>
      </c>
      <c r="BA17" s="25" t="str">
        <f t="shared" si="25"/>
        <v>","ContingencyReserveFuel":"</v>
      </c>
      <c r="BB17" s="25">
        <v>10</v>
      </c>
      <c r="BC17" s="25" t="str">
        <f t="shared" si="26"/>
        <v>","ContingencyFuelMinimum":"</v>
      </c>
      <c r="BD17" s="25">
        <v>0</v>
      </c>
      <c r="BE17" s="25" t="str">
        <f t="shared" si="27"/>
        <v>","TaxiFuel":"</v>
      </c>
      <c r="BF17" s="25">
        <v>100</v>
      </c>
      <c r="BG17" s="25" t="str">
        <f t="shared" si="28"/>
        <v>","ClimbBurn":"</v>
      </c>
      <c r="BH17" s="25">
        <v>2000</v>
      </c>
      <c r="BI17" s="25" t="str">
        <f t="shared" si="29"/>
        <v>","AWKBurn":"</v>
      </c>
      <c r="BJ17" s="25" t="s">
        <v>213</v>
      </c>
      <c r="BK17" s="25" t="str">
        <f t="shared" si="30"/>
        <v>","HoverBurn":"</v>
      </c>
      <c r="BL17" s="25">
        <v>970</v>
      </c>
      <c r="BM17" s="25" t="str">
        <f t="shared" si="31"/>
        <v>","HoldingTas":"</v>
      </c>
      <c r="BN17" s="25" t="s">
        <v>665</v>
      </c>
      <c r="BO17" s="25" t="str">
        <f t="shared" si="32"/>
        <v>","PlannedTas":"</v>
      </c>
      <c r="BP17" s="25">
        <v>435</v>
      </c>
      <c r="BQ17" s="25" t="str">
        <f t="shared" si="33"/>
        <v>","ClimbTas":"</v>
      </c>
      <c r="BR17" s="25">
        <v>400</v>
      </c>
      <c r="BS17" s="25" t="str">
        <f t="shared" si="34"/>
        <v>","CruiseTas":"</v>
      </c>
      <c r="BU17" s="25" t="str">
        <f t="shared" si="35"/>
        <v>","GlideTas":"</v>
      </c>
      <c r="BV17" s="25">
        <v>200</v>
      </c>
      <c r="BW17" s="25" t="str">
        <f t="shared" si="36"/>
        <v>","DescentTas":"</v>
      </c>
      <c r="BX17" s="25">
        <v>300</v>
      </c>
      <c r="BY17" s="25" t="str">
        <f t="shared" si="37"/>
        <v>","LoiterTas":"</v>
      </c>
      <c r="BZ17" s="25">
        <v>200</v>
      </c>
      <c r="CA17" s="25" t="str">
        <f t="shared" si="38"/>
        <v>","DescentRate":"</v>
      </c>
      <c r="CB17" s="25">
        <v>2000</v>
      </c>
      <c r="CC17" s="25" t="str">
        <f t="shared" si="39"/>
        <v>","ClimbRate":"</v>
      </c>
      <c r="CD17" s="25">
        <v>2000</v>
      </c>
      <c r="CE17" s="25" t="str">
        <f t="shared" si="40"/>
        <v>","GlideRatio":"</v>
      </c>
      <c r="CF17" s="25">
        <v>10</v>
      </c>
      <c r="CG17" s="25" t="str">
        <f t="shared" si="41"/>
        <v>","ServiceCeiling":"</v>
      </c>
      <c r="CH17" s="25">
        <v>45000</v>
      </c>
      <c r="CI17" s="25" t="str">
        <f t="shared" si="42"/>
        <v>"},</v>
      </c>
    </row>
    <row r="18" spans="1:87" s="25" customFormat="1">
      <c r="A18" s="73" t="str">
        <f>_xlfn.CONCAT(B18:CI18)</f>
        <v>{"id":"LJW","type":4,"Code":"L31","serial":"055","deliniator":"05","Performance":"C","Color":"White","Manufacturer":"Bombardier","WakeCategory":"M","profiles":[],"Engines":[],"Engine":"","Equipment" : {"SurveillanceEquipment":"EB1","PBN":"O2S2","EquipmentInformation":"SDFGHIRZ","SafetyEquipment":"FG","EmergencyRadio":"0","NumberDinghies":"0","DinghiesCovered":"0","DinghyCapacity" : "0","DinghyColor":"0"},"STS":"","FuelCapacity":"4124","ReserveFuel":"485","FinalReserveTime":"30","ContingencyReserveFuel":"10","ContingencyFuelMinimum":"0","TaxiFuel":"100","ClimbBurn":"2000","AWKBurn":"1500","HoverBurn":"970","HoldingTas":"200","PlannedTas":"435","ClimbTas":"400","CruiseTas":"","GlideTas":"200","DescentTas":"300","LoiterTas":"200","DescentRate":"2000","ClimbRate":"2000","GlideRatio":"10","ServiceCeiling":"45000"},</v>
      </c>
      <c r="B18" s="25" t="s">
        <v>71</v>
      </c>
      <c r="C18" s="25" t="str">
        <f t="shared" si="1"/>
        <v>"id":"</v>
      </c>
      <c r="D18" s="25" t="s">
        <v>161</v>
      </c>
      <c r="E18" s="25" t="str">
        <f t="shared" si="2"/>
        <v>",</v>
      </c>
      <c r="F18" s="25" t="str">
        <f t="shared" si="2"/>
        <v>"type":</v>
      </c>
      <c r="G18" s="25" t="s">
        <v>690</v>
      </c>
      <c r="H18" s="25" t="str">
        <f t="shared" si="3"/>
        <v>,"Code":"</v>
      </c>
      <c r="I18" s="25" t="s">
        <v>159</v>
      </c>
      <c r="J18" s="25" t="str">
        <f t="shared" si="4"/>
        <v>","serial":"</v>
      </c>
      <c r="K18" s="25" t="s">
        <v>162</v>
      </c>
      <c r="L18" s="25" t="str">
        <f t="shared" si="5"/>
        <v>","deliniator":"</v>
      </c>
      <c r="M18" s="25" t="str">
        <f t="shared" si="0"/>
        <v>05</v>
      </c>
      <c r="N18" s="25" t="str">
        <f t="shared" si="6"/>
        <v>","Performance":"</v>
      </c>
      <c r="O18" s="25" t="s">
        <v>136</v>
      </c>
      <c r="P18" s="25" t="str">
        <f t="shared" si="7"/>
        <v>","Color":"</v>
      </c>
      <c r="Q18" s="25" t="s">
        <v>141</v>
      </c>
      <c r="R18" s="25" t="str">
        <f t="shared" si="8"/>
        <v>","Manufacturer":"</v>
      </c>
      <c r="S18" s="25" t="s">
        <v>138</v>
      </c>
      <c r="T18" s="25" t="str">
        <f t="shared" si="9"/>
        <v>","WakeCategory":"</v>
      </c>
      <c r="U18" s="25" t="s">
        <v>139</v>
      </c>
      <c r="V18" s="25" t="str">
        <f t="shared" si="10"/>
        <v>","profiles":[],</v>
      </c>
      <c r="W18" s="25" t="str">
        <f t="shared" si="11"/>
        <v>"Engines":[],"Engine":"",</v>
      </c>
      <c r="X18" s="25" t="str">
        <f t="shared" si="12"/>
        <v>"Equipment" : {"SurveillanceEquipment":"</v>
      </c>
      <c r="Y18" s="25" t="s">
        <v>132</v>
      </c>
      <c r="Z18" s="25" t="str">
        <f t="shared" si="13"/>
        <v>","PBN":"</v>
      </c>
      <c r="AA18" s="25" t="s">
        <v>160</v>
      </c>
      <c r="AB18" s="25" t="str">
        <f t="shared" si="14"/>
        <v>","EquipmentInformation":"</v>
      </c>
      <c r="AC18" s="25" t="s">
        <v>163</v>
      </c>
      <c r="AD18" s="25" t="str">
        <f t="shared" si="15"/>
        <v>","SafetyEquipment":"</v>
      </c>
      <c r="AE18" s="25" t="s">
        <v>135</v>
      </c>
      <c r="AF18" s="25" t="str">
        <f t="shared" si="16"/>
        <v>","EmergencyRadio":"</v>
      </c>
      <c r="AG18" s="25" t="str">
        <f t="shared" si="17"/>
        <v>0</v>
      </c>
      <c r="AH18" s="25" t="str">
        <f t="shared" si="18"/>
        <v>","NumberDinghies":"0","DinghiesCovered":"0","DinghyCapacity" : "0","DinghyColor":"0"},"STS":"</v>
      </c>
      <c r="AJ18" s="25" t="str">
        <f t="shared" si="19"/>
        <v>",</v>
      </c>
      <c r="AO18" s="25" t="str">
        <f t="shared" si="20"/>
        <v>"FuelCapacity":"</v>
      </c>
      <c r="AR18" s="25">
        <v>4124</v>
      </c>
      <c r="AS18" s="25" t="str">
        <f t="shared" si="21"/>
        <v>",</v>
      </c>
      <c r="AU18" s="25" t="str">
        <f t="shared" si="22"/>
        <v>"ReserveFuel":"</v>
      </c>
      <c r="AV18" s="25">
        <v>485</v>
      </c>
      <c r="AW18" s="25" t="str">
        <f t="shared" si="23"/>
        <v>"</v>
      </c>
      <c r="AY18" s="25" t="str">
        <f t="shared" si="24"/>
        <v>,"FinalReserveTime":"</v>
      </c>
      <c r="AZ18" s="25">
        <v>30</v>
      </c>
      <c r="BA18" s="25" t="str">
        <f t="shared" si="25"/>
        <v>","ContingencyReserveFuel":"</v>
      </c>
      <c r="BB18" s="25">
        <v>10</v>
      </c>
      <c r="BC18" s="25" t="str">
        <f t="shared" si="26"/>
        <v>","ContingencyFuelMinimum":"</v>
      </c>
      <c r="BD18" s="25">
        <v>0</v>
      </c>
      <c r="BE18" s="25" t="str">
        <f t="shared" si="27"/>
        <v>","TaxiFuel":"</v>
      </c>
      <c r="BF18" s="25">
        <v>100</v>
      </c>
      <c r="BG18" s="25" t="str">
        <f t="shared" si="28"/>
        <v>","ClimbBurn":"</v>
      </c>
      <c r="BH18" s="25">
        <v>2000</v>
      </c>
      <c r="BI18" s="25" t="str">
        <f t="shared" si="29"/>
        <v>","AWKBurn":"</v>
      </c>
      <c r="BJ18" s="25" t="s">
        <v>213</v>
      </c>
      <c r="BK18" s="25" t="str">
        <f t="shared" si="30"/>
        <v>","HoverBurn":"</v>
      </c>
      <c r="BL18" s="25">
        <v>970</v>
      </c>
      <c r="BM18" s="25" t="str">
        <f t="shared" si="31"/>
        <v>","HoldingTas":"</v>
      </c>
      <c r="BN18" s="25" t="s">
        <v>665</v>
      </c>
      <c r="BO18" s="25" t="str">
        <f t="shared" si="32"/>
        <v>","PlannedTas":"</v>
      </c>
      <c r="BP18" s="25">
        <v>435</v>
      </c>
      <c r="BQ18" s="25" t="str">
        <f t="shared" si="33"/>
        <v>","ClimbTas":"</v>
      </c>
      <c r="BR18" s="25">
        <v>400</v>
      </c>
      <c r="BS18" s="25" t="str">
        <f t="shared" si="34"/>
        <v>","CruiseTas":"</v>
      </c>
      <c r="BU18" s="25" t="str">
        <f t="shared" si="35"/>
        <v>","GlideTas":"</v>
      </c>
      <c r="BV18" s="25">
        <v>200</v>
      </c>
      <c r="BW18" s="25" t="str">
        <f t="shared" si="36"/>
        <v>","DescentTas":"</v>
      </c>
      <c r="BX18" s="25">
        <v>300</v>
      </c>
      <c r="BY18" s="25" t="str">
        <f t="shared" si="37"/>
        <v>","LoiterTas":"</v>
      </c>
      <c r="BZ18" s="25">
        <v>200</v>
      </c>
      <c r="CA18" s="25" t="str">
        <f t="shared" si="38"/>
        <v>","DescentRate":"</v>
      </c>
      <c r="CB18" s="25">
        <v>2000</v>
      </c>
      <c r="CC18" s="25" t="str">
        <f t="shared" si="39"/>
        <v>","ClimbRate":"</v>
      </c>
      <c r="CD18" s="25">
        <v>2000</v>
      </c>
      <c r="CE18" s="25" t="str">
        <f t="shared" si="40"/>
        <v>","GlideRatio":"</v>
      </c>
      <c r="CF18" s="25">
        <v>10</v>
      </c>
      <c r="CG18" s="25" t="str">
        <f t="shared" si="41"/>
        <v>","ServiceCeiling":"</v>
      </c>
      <c r="CH18" s="25">
        <v>45000</v>
      </c>
      <c r="CI18" s="25" t="str">
        <f t="shared" si="42"/>
        <v>"},</v>
      </c>
    </row>
    <row r="19" spans="1:87" s="25" customFormat="1">
      <c r="A19" s="73" t="str">
        <f>_xlfn.CONCAT(B19:CI19)</f>
        <v>{"id":"NPP","type":6,"Code":"L60","serial":"158","deliniator":"15","Performance":"C","Color":"White","Manufacturer":"Bombardier","WakeCategory":"M","profiles":[],"Engines":[],"Engine":"","Equipment" : {"SurveillanceEquipment":"EB1","PBN":"A1B2C2D2L1O2S2","EquipmentInformation":"SDFGHURZW","SafetyEquipment":"FG","EmergencyRadio":"0","NumberDinghies":"0","DinghiesCovered":"0","DinghyCapacity" : "0","DinghyColor":"0"},"STS":"","FuelCapacity":"7900","ReserveFuel":"600","FinalReserveTime":"30","ContingencyReserveFuel":"10","ContingencyFuelMinimum":"0","TaxiFuel":"250","ClimbBurn":"3000","AWKBurn":"2000","HoverBurn":"1120","HoldingTas":"200","PlannedTas":"445","ClimbTas":"400","CruiseTas":"","GlideTas":"200","DescentTas":"300","LoiterTas":"200","DescentRate":"2000","ClimbRate":"2000","GlideRatio":"10","ServiceCeiling":"45000"},</v>
      </c>
      <c r="B19" s="25" t="s">
        <v>71</v>
      </c>
      <c r="C19" s="25" t="str">
        <f t="shared" si="1"/>
        <v>"id":"</v>
      </c>
      <c r="D19" s="25" t="s">
        <v>164</v>
      </c>
      <c r="E19" s="25" t="str">
        <f t="shared" si="2"/>
        <v>",</v>
      </c>
      <c r="F19" s="25" t="str">
        <f t="shared" si="2"/>
        <v>"type":</v>
      </c>
      <c r="G19" s="25" t="s">
        <v>692</v>
      </c>
      <c r="H19" s="25" t="str">
        <f t="shared" si="3"/>
        <v>,"Code":"</v>
      </c>
      <c r="I19" s="25" t="s">
        <v>165</v>
      </c>
      <c r="J19" s="25" t="str">
        <f t="shared" si="4"/>
        <v>","serial":"</v>
      </c>
      <c r="K19" s="25">
        <v>158</v>
      </c>
      <c r="L19" s="25" t="str">
        <f t="shared" si="5"/>
        <v>","deliniator":"</v>
      </c>
      <c r="M19" s="25" t="str">
        <f t="shared" si="0"/>
        <v>15</v>
      </c>
      <c r="N19" s="25" t="str">
        <f t="shared" si="6"/>
        <v>","Performance":"</v>
      </c>
      <c r="O19" s="25" t="s">
        <v>136</v>
      </c>
      <c r="P19" s="25" t="str">
        <f t="shared" si="7"/>
        <v>","Color":"</v>
      </c>
      <c r="Q19" s="25" t="s">
        <v>141</v>
      </c>
      <c r="R19" s="25" t="str">
        <f t="shared" si="8"/>
        <v>","Manufacturer":"</v>
      </c>
      <c r="S19" s="25" t="s">
        <v>138</v>
      </c>
      <c r="T19" s="25" t="str">
        <f t="shared" si="9"/>
        <v>","WakeCategory":"</v>
      </c>
      <c r="U19" s="25" t="s">
        <v>139</v>
      </c>
      <c r="V19" s="25" t="str">
        <f t="shared" si="10"/>
        <v>","profiles":[],</v>
      </c>
      <c r="W19" s="25" t="str">
        <f t="shared" si="11"/>
        <v>"Engines":[],"Engine":"",</v>
      </c>
      <c r="X19" s="25" t="str">
        <f t="shared" si="12"/>
        <v>"Equipment" : {"SurveillanceEquipment":"</v>
      </c>
      <c r="Y19" s="25" t="s">
        <v>132</v>
      </c>
      <c r="Z19" s="25" t="str">
        <f t="shared" si="13"/>
        <v>","PBN":"</v>
      </c>
      <c r="AA19" s="25" t="s">
        <v>166</v>
      </c>
      <c r="AB19" s="25" t="str">
        <f t="shared" si="14"/>
        <v>","EquipmentInformation":"</v>
      </c>
      <c r="AC19" s="25" t="s">
        <v>134</v>
      </c>
      <c r="AD19" s="25" t="str">
        <f t="shared" si="15"/>
        <v>","SafetyEquipment":"</v>
      </c>
      <c r="AE19" s="25" t="s">
        <v>135</v>
      </c>
      <c r="AF19" s="25" t="str">
        <f t="shared" si="16"/>
        <v>","EmergencyRadio":"</v>
      </c>
      <c r="AG19" s="25" t="str">
        <f t="shared" si="17"/>
        <v>0</v>
      </c>
      <c r="AH19" s="25" t="str">
        <f t="shared" si="18"/>
        <v>","NumberDinghies":"0","DinghiesCovered":"0","DinghyCapacity" : "0","DinghyColor":"0"},"STS":"</v>
      </c>
      <c r="AJ19" s="25" t="str">
        <f t="shared" si="19"/>
        <v>",</v>
      </c>
      <c r="AO19" s="25" t="str">
        <f t="shared" si="20"/>
        <v>"FuelCapacity":"</v>
      </c>
      <c r="AR19" s="25">
        <v>7900</v>
      </c>
      <c r="AS19" s="25" t="str">
        <f t="shared" si="21"/>
        <v>",</v>
      </c>
      <c r="AU19" s="25" t="str">
        <f t="shared" si="22"/>
        <v>"ReserveFuel":"</v>
      </c>
      <c r="AV19" s="25">
        <v>600</v>
      </c>
      <c r="AW19" s="25" t="str">
        <f t="shared" si="23"/>
        <v>"</v>
      </c>
      <c r="AY19" s="25" t="str">
        <f t="shared" si="24"/>
        <v>,"FinalReserveTime":"</v>
      </c>
      <c r="AZ19" s="25">
        <v>30</v>
      </c>
      <c r="BA19" s="25" t="str">
        <f t="shared" si="25"/>
        <v>","ContingencyReserveFuel":"</v>
      </c>
      <c r="BB19" s="25">
        <v>10</v>
      </c>
      <c r="BC19" s="25" t="str">
        <f t="shared" si="26"/>
        <v>","ContingencyFuelMinimum":"</v>
      </c>
      <c r="BD19" s="25">
        <v>0</v>
      </c>
      <c r="BE19" s="25" t="str">
        <f t="shared" si="27"/>
        <v>","TaxiFuel":"</v>
      </c>
      <c r="BF19" s="25">
        <v>250</v>
      </c>
      <c r="BG19" s="25" t="str">
        <f t="shared" si="28"/>
        <v>","ClimbBurn":"</v>
      </c>
      <c r="BH19" s="25">
        <v>3000</v>
      </c>
      <c r="BI19" s="25" t="str">
        <f t="shared" si="29"/>
        <v>","AWKBurn":"</v>
      </c>
      <c r="BJ19" s="25" t="s">
        <v>214</v>
      </c>
      <c r="BK19" s="25" t="str">
        <f t="shared" si="30"/>
        <v>","HoverBurn":"</v>
      </c>
      <c r="BL19" s="25">
        <v>1120</v>
      </c>
      <c r="BM19" s="25" t="str">
        <f t="shared" si="31"/>
        <v>","HoldingTas":"</v>
      </c>
      <c r="BN19" s="25" t="s">
        <v>665</v>
      </c>
      <c r="BO19" s="25" t="str">
        <f t="shared" si="32"/>
        <v>","PlannedTas":"</v>
      </c>
      <c r="BP19" s="25">
        <v>445</v>
      </c>
      <c r="BQ19" s="25" t="str">
        <f t="shared" si="33"/>
        <v>","ClimbTas":"</v>
      </c>
      <c r="BR19" s="25">
        <v>400</v>
      </c>
      <c r="BS19" s="25" t="str">
        <f t="shared" si="34"/>
        <v>","CruiseTas":"</v>
      </c>
      <c r="BU19" s="25" t="str">
        <f t="shared" si="35"/>
        <v>","GlideTas":"</v>
      </c>
      <c r="BV19" s="25">
        <v>200</v>
      </c>
      <c r="BW19" s="25" t="str">
        <f t="shared" si="36"/>
        <v>","DescentTas":"</v>
      </c>
      <c r="BX19" s="25">
        <v>300</v>
      </c>
      <c r="BY19" s="25" t="str">
        <f t="shared" si="37"/>
        <v>","LoiterTas":"</v>
      </c>
      <c r="BZ19" s="25">
        <v>200</v>
      </c>
      <c r="CA19" s="25" t="str">
        <f t="shared" si="38"/>
        <v>","DescentRate":"</v>
      </c>
      <c r="CB19" s="25">
        <v>2000</v>
      </c>
      <c r="CC19" s="25" t="str">
        <f t="shared" si="39"/>
        <v>","ClimbRate":"</v>
      </c>
      <c r="CD19" s="25">
        <v>2000</v>
      </c>
      <c r="CE19" s="25" t="str">
        <f t="shared" si="40"/>
        <v>","GlideRatio":"</v>
      </c>
      <c r="CF19" s="25">
        <v>10</v>
      </c>
      <c r="CG19" s="25" t="str">
        <f t="shared" si="41"/>
        <v>","ServiceCeiling":"</v>
      </c>
      <c r="CH19" s="25">
        <v>45000</v>
      </c>
      <c r="CI19" s="25" t="str">
        <f t="shared" si="42"/>
        <v>"},</v>
      </c>
    </row>
    <row r="20" spans="1:87" s="25" customFormat="1">
      <c r="A20" s="73" t="str">
        <f>_xlfn.CONCAT(B20:CI20)</f>
        <v>{"id":"LJZ","type":6,"Code":"L60","serial":"108","deliniator":"10","Performance":"C","Color":"White","Manufacturer":"Bombardier","WakeCategory":"M","profiles":[],"Engines":[],"Engine":"","Equipment" : {"SurveillanceEquipment":"EB1","PBN":"O2S1","EquipmentInformation":"SDFGHURZW","SafetyEquipment":"FG","EmergencyRadio":"0","NumberDinghies":"0","DinghiesCovered":"0","DinghyCapacity" : "0","DinghyColor":"0"},"STS":"","FuelCapacity":"7900","ReserveFuel":"600","FinalReserveTime":"30","ContingencyReserveFuel":"10","ContingencyFuelMinimum":"0","TaxiFuel":"250","ClimbBurn":"3000","AWKBurn":"2000","HoverBurn":"1120","HoldingTas":"200","PlannedTas":"445","ClimbTas":"400","CruiseTas":"","GlideTas":"200","DescentTas":"300","LoiterTas":"200","DescentRate":"2000","ClimbRate":"2000","GlideRatio":"10","ServiceCeiling":"45000"},</v>
      </c>
      <c r="B20" s="25" t="s">
        <v>71</v>
      </c>
      <c r="C20" s="25" t="str">
        <f t="shared" si="1"/>
        <v>"id":"</v>
      </c>
      <c r="D20" s="25" t="s">
        <v>167</v>
      </c>
      <c r="E20" s="25" t="str">
        <f t="shared" si="2"/>
        <v>",</v>
      </c>
      <c r="F20" s="25" t="str">
        <f t="shared" si="2"/>
        <v>"type":</v>
      </c>
      <c r="G20" s="25" t="s">
        <v>692</v>
      </c>
      <c r="H20" s="25" t="str">
        <f t="shared" si="3"/>
        <v>,"Code":"</v>
      </c>
      <c r="I20" s="25" t="s">
        <v>165</v>
      </c>
      <c r="J20" s="25" t="str">
        <f t="shared" si="4"/>
        <v>","serial":"</v>
      </c>
      <c r="K20" s="25">
        <v>108</v>
      </c>
      <c r="L20" s="25" t="str">
        <f t="shared" si="5"/>
        <v>","deliniator":"</v>
      </c>
      <c r="M20" s="25" t="str">
        <f t="shared" si="0"/>
        <v>10</v>
      </c>
      <c r="N20" s="25" t="str">
        <f t="shared" si="6"/>
        <v>","Performance":"</v>
      </c>
      <c r="O20" s="25" t="s">
        <v>136</v>
      </c>
      <c r="P20" s="25" t="str">
        <f t="shared" si="7"/>
        <v>","Color":"</v>
      </c>
      <c r="Q20" s="25" t="s">
        <v>141</v>
      </c>
      <c r="R20" s="25" t="str">
        <f t="shared" si="8"/>
        <v>","Manufacturer":"</v>
      </c>
      <c r="S20" s="25" t="s">
        <v>138</v>
      </c>
      <c r="T20" s="25" t="str">
        <f t="shared" si="9"/>
        <v>","WakeCategory":"</v>
      </c>
      <c r="U20" s="25" t="s">
        <v>139</v>
      </c>
      <c r="V20" s="25" t="str">
        <f t="shared" si="10"/>
        <v>","profiles":[],</v>
      </c>
      <c r="W20" s="25" t="str">
        <f t="shared" si="11"/>
        <v>"Engines":[],"Engine":"",</v>
      </c>
      <c r="X20" s="25" t="str">
        <f t="shared" si="12"/>
        <v>"Equipment" : {"SurveillanceEquipment":"</v>
      </c>
      <c r="Y20" s="25" t="s">
        <v>132</v>
      </c>
      <c r="Z20" s="25" t="str">
        <f t="shared" si="13"/>
        <v>","PBN":"</v>
      </c>
      <c r="AA20" s="25" t="s">
        <v>153</v>
      </c>
      <c r="AB20" s="25" t="str">
        <f t="shared" si="14"/>
        <v>","EquipmentInformation":"</v>
      </c>
      <c r="AC20" s="25" t="s">
        <v>134</v>
      </c>
      <c r="AD20" s="25" t="str">
        <f t="shared" si="15"/>
        <v>","SafetyEquipment":"</v>
      </c>
      <c r="AE20" s="25" t="s">
        <v>135</v>
      </c>
      <c r="AF20" s="25" t="str">
        <f t="shared" si="16"/>
        <v>","EmergencyRadio":"</v>
      </c>
      <c r="AG20" s="25" t="str">
        <f t="shared" si="17"/>
        <v>0</v>
      </c>
      <c r="AH20" s="25" t="str">
        <f t="shared" si="18"/>
        <v>","NumberDinghies":"0","DinghiesCovered":"0","DinghyCapacity" : "0","DinghyColor":"0"},"STS":"</v>
      </c>
      <c r="AJ20" s="25" t="str">
        <f t="shared" si="19"/>
        <v>",</v>
      </c>
      <c r="AO20" s="25" t="str">
        <f t="shared" si="20"/>
        <v>"FuelCapacity":"</v>
      </c>
      <c r="AR20" s="25">
        <v>7900</v>
      </c>
      <c r="AS20" s="25" t="str">
        <f t="shared" si="21"/>
        <v>",</v>
      </c>
      <c r="AU20" s="25" t="str">
        <f t="shared" si="22"/>
        <v>"ReserveFuel":"</v>
      </c>
      <c r="AV20" s="25">
        <v>600</v>
      </c>
      <c r="AW20" s="25" t="str">
        <f t="shared" si="23"/>
        <v>"</v>
      </c>
      <c r="AY20" s="25" t="str">
        <f t="shared" si="24"/>
        <v>,"FinalReserveTime":"</v>
      </c>
      <c r="AZ20" s="25">
        <v>30</v>
      </c>
      <c r="BA20" s="25" t="str">
        <f t="shared" si="25"/>
        <v>","ContingencyReserveFuel":"</v>
      </c>
      <c r="BB20" s="25">
        <v>10</v>
      </c>
      <c r="BC20" s="25" t="str">
        <f t="shared" si="26"/>
        <v>","ContingencyFuelMinimum":"</v>
      </c>
      <c r="BD20" s="25">
        <v>0</v>
      </c>
      <c r="BE20" s="25" t="str">
        <f t="shared" si="27"/>
        <v>","TaxiFuel":"</v>
      </c>
      <c r="BF20" s="25">
        <v>250</v>
      </c>
      <c r="BG20" s="25" t="str">
        <f t="shared" si="28"/>
        <v>","ClimbBurn":"</v>
      </c>
      <c r="BH20" s="25">
        <v>3000</v>
      </c>
      <c r="BI20" s="25" t="str">
        <f t="shared" si="29"/>
        <v>","AWKBurn":"</v>
      </c>
      <c r="BJ20" s="25" t="s">
        <v>214</v>
      </c>
      <c r="BK20" s="25" t="str">
        <f t="shared" si="30"/>
        <v>","HoverBurn":"</v>
      </c>
      <c r="BL20" s="25">
        <v>1120</v>
      </c>
      <c r="BM20" s="25" t="str">
        <f t="shared" si="31"/>
        <v>","HoldingTas":"</v>
      </c>
      <c r="BN20" s="25" t="s">
        <v>665</v>
      </c>
      <c r="BO20" s="25" t="str">
        <f t="shared" si="32"/>
        <v>","PlannedTas":"</v>
      </c>
      <c r="BP20" s="25">
        <v>445</v>
      </c>
      <c r="BQ20" s="25" t="str">
        <f t="shared" si="33"/>
        <v>","ClimbTas":"</v>
      </c>
      <c r="BR20" s="25">
        <v>400</v>
      </c>
      <c r="BS20" s="25" t="str">
        <f t="shared" si="34"/>
        <v>","CruiseTas":"</v>
      </c>
      <c r="BU20" s="25" t="str">
        <f t="shared" si="35"/>
        <v>","GlideTas":"</v>
      </c>
      <c r="BV20" s="25">
        <v>200</v>
      </c>
      <c r="BW20" s="25" t="str">
        <f t="shared" si="36"/>
        <v>","DescentTas":"</v>
      </c>
      <c r="BX20" s="25">
        <v>300</v>
      </c>
      <c r="BY20" s="25" t="str">
        <f t="shared" si="37"/>
        <v>","LoiterTas":"</v>
      </c>
      <c r="BZ20" s="25">
        <v>200</v>
      </c>
      <c r="CA20" s="25" t="str">
        <f t="shared" si="38"/>
        <v>","DescentRate":"</v>
      </c>
      <c r="CB20" s="25">
        <v>2000</v>
      </c>
      <c r="CC20" s="25" t="str">
        <f t="shared" si="39"/>
        <v>","ClimbRate":"</v>
      </c>
      <c r="CD20" s="25">
        <v>2000</v>
      </c>
      <c r="CE20" s="25" t="str">
        <f t="shared" si="40"/>
        <v>","GlideRatio":"</v>
      </c>
      <c r="CF20" s="25">
        <v>10</v>
      </c>
      <c r="CG20" s="25" t="str">
        <f t="shared" si="41"/>
        <v>","ServiceCeiling":"</v>
      </c>
      <c r="CH20" s="25">
        <v>45000</v>
      </c>
      <c r="CI20" s="25" t="str">
        <f t="shared" si="42"/>
        <v>"},</v>
      </c>
    </row>
    <row r="21" spans="1:87" s="25" customFormat="1">
      <c r="A21" s="73" t="str">
        <f>_xlfn.CONCAT(B21:CI21)</f>
        <v>{"id":"LPJ","type":6,"Code":"L60","serial":"162","deliniator":"16","Performance":"C","Color":"White","Manufacturer":"Bombardier","WakeCategory":"M","profiles":[],"Engines":[],"Engine":"","Equipment" : {"SurveillanceEquipment":"EB1","PBN":"","EquipmentInformation":"","SafetyEquipment":"FG","EmergencyRadio":"0","NumberDinghies":"0","DinghiesCovered":"0","DinghyCapacity" : "0","DinghyColor":"0"},"STS":"","FuelCapacity":"7900","ReserveFuel":"600","FinalReserveTime":"30","ContingencyReserveFuel":"10","ContingencyFuelMinimum":"0","TaxiFuel":"250","ClimbBurn":"3000","AWKBurn":"2000","HoverBurn":"1120","HoldingTas":"200","PlannedTas":"445","ClimbTas":"400","CruiseTas":"","GlideTas":"200","DescentTas":"300","LoiterTas":"200","DescentRate":"2000","ClimbRate":"2000","GlideRatio":"10","ServiceCeiling":"45000"},</v>
      </c>
      <c r="B21" s="25" t="s">
        <v>71</v>
      </c>
      <c r="C21" s="25" t="str">
        <f t="shared" si="1"/>
        <v>"id":"</v>
      </c>
      <c r="D21" s="25" t="s">
        <v>143</v>
      </c>
      <c r="E21" s="25" t="str">
        <f t="shared" si="2"/>
        <v>",</v>
      </c>
      <c r="F21" s="25" t="str">
        <f t="shared" si="2"/>
        <v>"type":</v>
      </c>
      <c r="G21" s="25" t="s">
        <v>692</v>
      </c>
      <c r="H21" s="25" t="str">
        <f t="shared" si="3"/>
        <v>,"Code":"</v>
      </c>
      <c r="I21" s="25" t="s">
        <v>165</v>
      </c>
      <c r="J21" s="25" t="str">
        <f t="shared" si="4"/>
        <v>","serial":"</v>
      </c>
      <c r="K21" s="25" t="s">
        <v>168</v>
      </c>
      <c r="L21" s="25" t="str">
        <f t="shared" si="5"/>
        <v>","deliniator":"</v>
      </c>
      <c r="M21" s="25" t="str">
        <f t="shared" si="0"/>
        <v>16</v>
      </c>
      <c r="N21" s="25" t="str">
        <f t="shared" si="6"/>
        <v>","Performance":"</v>
      </c>
      <c r="O21" s="25" t="s">
        <v>136</v>
      </c>
      <c r="P21" s="25" t="str">
        <f t="shared" si="7"/>
        <v>","Color":"</v>
      </c>
      <c r="Q21" s="25" t="s">
        <v>141</v>
      </c>
      <c r="R21" s="25" t="str">
        <f t="shared" si="8"/>
        <v>","Manufacturer":"</v>
      </c>
      <c r="S21" s="25" t="s">
        <v>138</v>
      </c>
      <c r="T21" s="25" t="str">
        <f t="shared" si="9"/>
        <v>","WakeCategory":"</v>
      </c>
      <c r="U21" s="25" t="s">
        <v>139</v>
      </c>
      <c r="V21" s="25" t="str">
        <f t="shared" si="10"/>
        <v>","profiles":[],</v>
      </c>
      <c r="W21" s="25" t="str">
        <f t="shared" si="11"/>
        <v>"Engines":[],"Engine":"",</v>
      </c>
      <c r="X21" s="25" t="str">
        <f t="shared" si="12"/>
        <v>"Equipment" : {"SurveillanceEquipment":"</v>
      </c>
      <c r="Y21" s="25" t="s">
        <v>132</v>
      </c>
      <c r="Z21" s="25" t="str">
        <f t="shared" si="13"/>
        <v>","PBN":"</v>
      </c>
      <c r="AB21" s="25" t="str">
        <f t="shared" si="14"/>
        <v>","EquipmentInformation":"</v>
      </c>
      <c r="AD21" s="25" t="str">
        <f t="shared" si="15"/>
        <v>","SafetyEquipment":"</v>
      </c>
      <c r="AE21" s="25" t="s">
        <v>135</v>
      </c>
      <c r="AF21" s="25" t="str">
        <f t="shared" si="16"/>
        <v>","EmergencyRadio":"</v>
      </c>
      <c r="AG21" s="25" t="str">
        <f t="shared" si="17"/>
        <v>0</v>
      </c>
      <c r="AH21" s="25" t="str">
        <f t="shared" si="18"/>
        <v>","NumberDinghies":"0","DinghiesCovered":"0","DinghyCapacity" : "0","DinghyColor":"0"},"STS":"</v>
      </c>
      <c r="AJ21" s="25" t="str">
        <f t="shared" si="19"/>
        <v>",</v>
      </c>
      <c r="AO21" s="25" t="str">
        <f t="shared" si="20"/>
        <v>"FuelCapacity":"</v>
      </c>
      <c r="AR21" s="25">
        <v>7900</v>
      </c>
      <c r="AS21" s="25" t="str">
        <f t="shared" si="21"/>
        <v>",</v>
      </c>
      <c r="AU21" s="25" t="str">
        <f t="shared" si="22"/>
        <v>"ReserveFuel":"</v>
      </c>
      <c r="AV21" s="25">
        <v>600</v>
      </c>
      <c r="AW21" s="25" t="str">
        <f t="shared" si="23"/>
        <v>"</v>
      </c>
      <c r="AY21" s="25" t="str">
        <f t="shared" si="24"/>
        <v>,"FinalReserveTime":"</v>
      </c>
      <c r="AZ21" s="25">
        <v>30</v>
      </c>
      <c r="BA21" s="25" t="str">
        <f t="shared" si="25"/>
        <v>","ContingencyReserveFuel":"</v>
      </c>
      <c r="BB21" s="25">
        <v>10</v>
      </c>
      <c r="BC21" s="25" t="str">
        <f t="shared" si="26"/>
        <v>","ContingencyFuelMinimum":"</v>
      </c>
      <c r="BD21" s="25">
        <v>0</v>
      </c>
      <c r="BE21" s="25" t="str">
        <f t="shared" si="27"/>
        <v>","TaxiFuel":"</v>
      </c>
      <c r="BF21" s="25">
        <v>250</v>
      </c>
      <c r="BG21" s="25" t="str">
        <f t="shared" si="28"/>
        <v>","ClimbBurn":"</v>
      </c>
      <c r="BH21" s="25">
        <v>3000</v>
      </c>
      <c r="BI21" s="25" t="str">
        <f t="shared" si="29"/>
        <v>","AWKBurn":"</v>
      </c>
      <c r="BJ21" s="25" t="s">
        <v>214</v>
      </c>
      <c r="BK21" s="25" t="str">
        <f t="shared" si="30"/>
        <v>","HoverBurn":"</v>
      </c>
      <c r="BL21" s="25">
        <v>1120</v>
      </c>
      <c r="BM21" s="25" t="str">
        <f t="shared" si="31"/>
        <v>","HoldingTas":"</v>
      </c>
      <c r="BN21" s="25" t="s">
        <v>665</v>
      </c>
      <c r="BO21" s="25" t="str">
        <f t="shared" si="32"/>
        <v>","PlannedTas":"</v>
      </c>
      <c r="BP21" s="25">
        <v>445</v>
      </c>
      <c r="BQ21" s="25" t="str">
        <f t="shared" si="33"/>
        <v>","ClimbTas":"</v>
      </c>
      <c r="BR21" s="25">
        <v>400</v>
      </c>
      <c r="BS21" s="25" t="str">
        <f t="shared" si="34"/>
        <v>","CruiseTas":"</v>
      </c>
      <c r="BU21" s="25" t="str">
        <f t="shared" si="35"/>
        <v>","GlideTas":"</v>
      </c>
      <c r="BV21" s="25">
        <v>200</v>
      </c>
      <c r="BW21" s="25" t="str">
        <f t="shared" si="36"/>
        <v>","DescentTas":"</v>
      </c>
      <c r="BX21" s="25">
        <v>300</v>
      </c>
      <c r="BY21" s="25" t="str">
        <f t="shared" si="37"/>
        <v>","LoiterTas":"</v>
      </c>
      <c r="BZ21" s="25">
        <v>200</v>
      </c>
      <c r="CA21" s="25" t="str">
        <f t="shared" si="38"/>
        <v>","DescentRate":"</v>
      </c>
      <c r="CB21" s="25">
        <v>2000</v>
      </c>
      <c r="CC21" s="25" t="str">
        <f t="shared" si="39"/>
        <v>","ClimbRate":"</v>
      </c>
      <c r="CD21" s="25">
        <v>2000</v>
      </c>
      <c r="CE21" s="25" t="str">
        <f t="shared" si="40"/>
        <v>","GlideRatio":"</v>
      </c>
      <c r="CF21" s="25">
        <v>10</v>
      </c>
      <c r="CG21" s="25" t="str">
        <f t="shared" si="41"/>
        <v>","ServiceCeiling":"</v>
      </c>
      <c r="CH21" s="25">
        <v>45000</v>
      </c>
      <c r="CI21" s="25" t="str">
        <f t="shared" si="42"/>
        <v>"},</v>
      </c>
    </row>
    <row r="22" spans="1:87" s="25" customFormat="1">
      <c r="A22" s="73" t="str">
        <f>_xlfn.CONCAT(B22:CI22)</f>
        <v>{"id":"LAB","type":7,"Code":"B200","serial":"023","deliniator":"","Performance":"B","Color":"White","Manufacturer":"Beechcraft","WakeCategory":"L","profiles":[],"Engines":[],"Engine":"","Equipment" : {"SurveillanceEquipment":"EB1","PBN":"O2S1","EquipmentInformation":"SDFGHRZ","SafetyEquipment":"FG","EmergencyRadio":"0","NumberDinghies":"0","DinghiesCovered":"0","DinghyCapacity" : "0","DinghyColor":"0"},"STS":"","FuelCapacity":"3611","ReserveFuel":"450","FinalReserveTime":"30","ContingencyReserveFuel":"10","ContingencyFuelMinimum":"0","TaxiFuel":"100","ClimbBurn":"1000","AWKBurn":"600","HoverBurn":"600","HoldingTas":"200","PlannedTas":"300","ClimbTas":"200","CruiseTas":"","GlideTas":"135","DescentTas":"230","LoiterTas":"150","DescentRate":"1500","ClimbRate":"2000","GlideRatio":"14","ServiceCeiling":"35000"},</v>
      </c>
      <c r="B22" s="25" t="s">
        <v>71</v>
      </c>
      <c r="C22" s="25" t="str">
        <f t="shared" si="1"/>
        <v>"id":"</v>
      </c>
      <c r="D22" s="25" t="s">
        <v>169</v>
      </c>
      <c r="E22" s="25" t="str">
        <f t="shared" si="2"/>
        <v>",</v>
      </c>
      <c r="F22" s="25" t="str">
        <f t="shared" si="2"/>
        <v>"type":</v>
      </c>
      <c r="G22" s="25" t="s">
        <v>693</v>
      </c>
      <c r="H22" s="25" t="str">
        <f t="shared" si="3"/>
        <v>,"Code":"</v>
      </c>
      <c r="I22" s="25" t="s">
        <v>170</v>
      </c>
      <c r="J22" s="25" t="str">
        <f t="shared" si="4"/>
        <v>","serial":"</v>
      </c>
      <c r="K22" s="25" t="s">
        <v>171</v>
      </c>
      <c r="L22" s="25" t="str">
        <f t="shared" si="5"/>
        <v>","deliniator":"</v>
      </c>
      <c r="N22" s="25" t="str">
        <f t="shared" si="6"/>
        <v>","Performance":"</v>
      </c>
      <c r="O22" s="25" t="s">
        <v>173</v>
      </c>
      <c r="P22" s="25" t="str">
        <f t="shared" si="7"/>
        <v>","Color":"</v>
      </c>
      <c r="Q22" s="25" t="s">
        <v>141</v>
      </c>
      <c r="R22" s="25" t="str">
        <f t="shared" si="8"/>
        <v>","Manufacturer":"</v>
      </c>
      <c r="S22" s="25" t="s">
        <v>174</v>
      </c>
      <c r="T22" s="25" t="str">
        <f t="shared" si="9"/>
        <v>","WakeCategory":"</v>
      </c>
      <c r="U22" s="25" t="s">
        <v>175</v>
      </c>
      <c r="V22" s="25" t="str">
        <f t="shared" si="10"/>
        <v>","profiles":[],</v>
      </c>
      <c r="W22" s="25" t="str">
        <f t="shared" si="11"/>
        <v>"Engines":[],"Engine":"",</v>
      </c>
      <c r="X22" s="25" t="str">
        <f t="shared" si="12"/>
        <v>"Equipment" : {"SurveillanceEquipment":"</v>
      </c>
      <c r="Y22" s="25" t="s">
        <v>132</v>
      </c>
      <c r="Z22" s="25" t="str">
        <f t="shared" si="13"/>
        <v>","PBN":"</v>
      </c>
      <c r="AA22" s="25" t="s">
        <v>153</v>
      </c>
      <c r="AB22" s="25" t="str">
        <f t="shared" si="14"/>
        <v>","EquipmentInformation":"</v>
      </c>
      <c r="AC22" s="25" t="s">
        <v>172</v>
      </c>
      <c r="AD22" s="25" t="str">
        <f t="shared" si="15"/>
        <v>","SafetyEquipment":"</v>
      </c>
      <c r="AE22" s="25" t="s">
        <v>135</v>
      </c>
      <c r="AF22" s="25" t="str">
        <f t="shared" si="16"/>
        <v>","EmergencyRadio":"</v>
      </c>
      <c r="AG22" s="25" t="str">
        <f t="shared" si="17"/>
        <v>0</v>
      </c>
      <c r="AH22" s="25" t="str">
        <f t="shared" si="18"/>
        <v>","NumberDinghies":"0","DinghiesCovered":"0","DinghyCapacity" : "0","DinghyColor":"0"},"STS":"</v>
      </c>
      <c r="AJ22" s="25" t="str">
        <f t="shared" si="19"/>
        <v>",</v>
      </c>
      <c r="AO22" s="25" t="str">
        <f t="shared" si="20"/>
        <v>"FuelCapacity":"</v>
      </c>
      <c r="AR22" s="25">
        <v>3611</v>
      </c>
      <c r="AS22" s="25" t="str">
        <f t="shared" si="21"/>
        <v>",</v>
      </c>
      <c r="AU22" s="25" t="str">
        <f t="shared" si="22"/>
        <v>"ReserveFuel":"</v>
      </c>
      <c r="AV22" s="25">
        <v>450</v>
      </c>
      <c r="AW22" s="25" t="str">
        <f t="shared" si="23"/>
        <v>"</v>
      </c>
      <c r="AY22" s="25" t="str">
        <f t="shared" si="24"/>
        <v>,"FinalReserveTime":"</v>
      </c>
      <c r="AZ22" s="25">
        <v>30</v>
      </c>
      <c r="BA22" s="25" t="str">
        <f t="shared" si="25"/>
        <v>","ContingencyReserveFuel":"</v>
      </c>
      <c r="BB22" s="25">
        <v>10</v>
      </c>
      <c r="BC22" s="25" t="str">
        <f t="shared" si="26"/>
        <v>","ContingencyFuelMinimum":"</v>
      </c>
      <c r="BD22" s="25">
        <v>0</v>
      </c>
      <c r="BE22" s="25" t="str">
        <f t="shared" si="27"/>
        <v>","TaxiFuel":"</v>
      </c>
      <c r="BF22" s="25">
        <v>100</v>
      </c>
      <c r="BG22" s="25" t="str">
        <f t="shared" si="28"/>
        <v>","ClimbBurn":"</v>
      </c>
      <c r="BH22" s="25">
        <v>1000</v>
      </c>
      <c r="BI22" s="25" t="str">
        <f t="shared" si="29"/>
        <v>","AWKBurn":"</v>
      </c>
      <c r="BJ22" s="25">
        <v>600</v>
      </c>
      <c r="BK22" s="25" t="str">
        <f t="shared" si="30"/>
        <v>","HoverBurn":"</v>
      </c>
      <c r="BL22" s="25">
        <v>600</v>
      </c>
      <c r="BM22" s="25" t="str">
        <f t="shared" si="31"/>
        <v>","HoldingTas":"</v>
      </c>
      <c r="BN22" s="25" t="s">
        <v>665</v>
      </c>
      <c r="BO22" s="25" t="str">
        <f t="shared" si="32"/>
        <v>","PlannedTas":"</v>
      </c>
      <c r="BP22" s="25">
        <v>300</v>
      </c>
      <c r="BQ22" s="25" t="str">
        <f t="shared" si="33"/>
        <v>","ClimbTas":"</v>
      </c>
      <c r="BR22" s="25">
        <v>200</v>
      </c>
      <c r="BS22" s="25" t="str">
        <f t="shared" si="34"/>
        <v>","CruiseTas":"</v>
      </c>
      <c r="BU22" s="25" t="str">
        <f t="shared" si="35"/>
        <v>","GlideTas":"</v>
      </c>
      <c r="BV22" s="25">
        <v>135</v>
      </c>
      <c r="BW22" s="25" t="str">
        <f t="shared" si="36"/>
        <v>","DescentTas":"</v>
      </c>
      <c r="BX22" s="25">
        <v>230</v>
      </c>
      <c r="BY22" s="25" t="str">
        <f t="shared" si="37"/>
        <v>","LoiterTas":"</v>
      </c>
      <c r="BZ22" s="25">
        <v>150</v>
      </c>
      <c r="CA22" s="25" t="str">
        <f t="shared" si="38"/>
        <v>","DescentRate":"</v>
      </c>
      <c r="CB22" s="25">
        <v>1500</v>
      </c>
      <c r="CC22" s="25" t="str">
        <f t="shared" si="39"/>
        <v>","ClimbRate":"</v>
      </c>
      <c r="CD22" s="25">
        <v>2000</v>
      </c>
      <c r="CE22" s="25" t="str">
        <f t="shared" si="40"/>
        <v>","GlideRatio":"</v>
      </c>
      <c r="CF22" s="25">
        <v>14</v>
      </c>
      <c r="CG22" s="25" t="str">
        <f t="shared" si="41"/>
        <v>","ServiceCeiling":"</v>
      </c>
      <c r="CH22" s="25">
        <v>35000</v>
      </c>
      <c r="CI22" s="25" t="str">
        <f t="shared" si="42"/>
        <v>"},</v>
      </c>
    </row>
    <row r="23" spans="1:87" s="25" customFormat="1">
      <c r="A23" s="73" t="str">
        <f>_xlfn.CONCAT(B23:CI23)</f>
        <v>{"id":"ZMP","type":7,"Code":"B200","serial":"259","deliniator":"","Performance":"B","Color":"White","Manufacturer":"Beechcraft","WakeCategory":"L","profiles":[],"Engines":[],"Engine":"","Equipment" : {"SurveillanceEquipment":"EB1","PBN":"O2S1","EquipmentInformation":"SDFGHRZ","SafetyEquipment":"FG","EmergencyRadio":"0","NumberDinghies":"0","DinghiesCovered":"0","DinghyCapacity" : "0","DinghyColor":"0"},"STS":"","FuelCapacity":"3611","ReserveFuel":"450","FinalReserveTime":"30","ContingencyReserveFuel":"10","ContingencyFuelMinimum":"0","TaxiFuel":"100","ClimbBurn":"1000","AWKBurn":"600","HoverBurn":"600","HoldingTas":"200","PlannedTas":"300","ClimbTas":"200","CruiseTas":"","GlideTas":"135","DescentTas":"230","LoiterTas":"150","DescentRate":"1500","ClimbRate":"2000","GlideRatio":"14","ServiceCeiling":"35000"}</v>
      </c>
      <c r="B23" s="25" t="s">
        <v>71</v>
      </c>
      <c r="C23" s="25" t="str">
        <f t="shared" si="1"/>
        <v>"id":"</v>
      </c>
      <c r="D23" s="25" t="s">
        <v>176</v>
      </c>
      <c r="E23" s="25" t="str">
        <f t="shared" si="2"/>
        <v>",</v>
      </c>
      <c r="F23" s="25" t="str">
        <f t="shared" si="2"/>
        <v>"type":</v>
      </c>
      <c r="G23" s="25" t="s">
        <v>693</v>
      </c>
      <c r="H23" s="25" t="str">
        <f t="shared" si="3"/>
        <v>,"Code":"</v>
      </c>
      <c r="I23" s="25" t="s">
        <v>170</v>
      </c>
      <c r="J23" s="25" t="str">
        <f t="shared" si="4"/>
        <v>","serial":"</v>
      </c>
      <c r="K23" s="25">
        <v>259</v>
      </c>
      <c r="L23" s="25" t="str">
        <f t="shared" si="5"/>
        <v>","deliniator":"</v>
      </c>
      <c r="N23" s="25" t="str">
        <f t="shared" si="6"/>
        <v>","Performance":"</v>
      </c>
      <c r="O23" s="25" t="s">
        <v>173</v>
      </c>
      <c r="P23" s="25" t="str">
        <f t="shared" si="7"/>
        <v>","Color":"</v>
      </c>
      <c r="Q23" s="25" t="s">
        <v>141</v>
      </c>
      <c r="R23" s="25" t="str">
        <f t="shared" si="8"/>
        <v>","Manufacturer":"</v>
      </c>
      <c r="S23" s="25" t="s">
        <v>174</v>
      </c>
      <c r="T23" s="25" t="str">
        <f t="shared" si="9"/>
        <v>","WakeCategory":"</v>
      </c>
      <c r="U23" s="25" t="s">
        <v>175</v>
      </c>
      <c r="V23" s="25" t="str">
        <f t="shared" si="10"/>
        <v>","profiles":[],</v>
      </c>
      <c r="W23" s="25" t="str">
        <f t="shared" si="11"/>
        <v>"Engines":[],"Engine":"",</v>
      </c>
      <c r="X23" s="25" t="str">
        <f t="shared" si="12"/>
        <v>"Equipment" : {"SurveillanceEquipment":"</v>
      </c>
      <c r="Y23" s="25" t="s">
        <v>132</v>
      </c>
      <c r="Z23" s="25" t="str">
        <f t="shared" si="13"/>
        <v>","PBN":"</v>
      </c>
      <c r="AA23" s="25" t="s">
        <v>153</v>
      </c>
      <c r="AB23" s="25" t="str">
        <f t="shared" si="14"/>
        <v>","EquipmentInformation":"</v>
      </c>
      <c r="AC23" s="25" t="s">
        <v>172</v>
      </c>
      <c r="AD23" s="25" t="str">
        <f t="shared" si="15"/>
        <v>","SafetyEquipment":"</v>
      </c>
      <c r="AE23" s="25" t="s">
        <v>135</v>
      </c>
      <c r="AF23" s="25" t="str">
        <f t="shared" si="16"/>
        <v>","EmergencyRadio":"</v>
      </c>
      <c r="AG23" s="25" t="str">
        <f t="shared" si="17"/>
        <v>0</v>
      </c>
      <c r="AH23" s="25" t="str">
        <f t="shared" si="18"/>
        <v>","NumberDinghies":"0","DinghiesCovered":"0","DinghyCapacity" : "0","DinghyColor":"0"},"STS":"</v>
      </c>
      <c r="AJ23" s="25" t="str">
        <f t="shared" si="19"/>
        <v>",</v>
      </c>
      <c r="AO23" s="25" t="str">
        <f t="shared" si="20"/>
        <v>"FuelCapacity":"</v>
      </c>
      <c r="AR23" s="25">
        <v>3611</v>
      </c>
      <c r="AS23" s="25" t="str">
        <f t="shared" si="21"/>
        <v>",</v>
      </c>
      <c r="AU23" s="25" t="str">
        <f t="shared" si="22"/>
        <v>"ReserveFuel":"</v>
      </c>
      <c r="AV23" s="25">
        <v>450</v>
      </c>
      <c r="AW23" s="25" t="str">
        <f t="shared" si="23"/>
        <v>"</v>
      </c>
      <c r="AY23" s="25" t="str">
        <f t="shared" si="24"/>
        <v>,"FinalReserveTime":"</v>
      </c>
      <c r="AZ23" s="25">
        <v>30</v>
      </c>
      <c r="BA23" s="25" t="str">
        <f t="shared" si="25"/>
        <v>","ContingencyReserveFuel":"</v>
      </c>
      <c r="BB23" s="25">
        <v>10</v>
      </c>
      <c r="BC23" s="25" t="str">
        <f t="shared" si="26"/>
        <v>","ContingencyFuelMinimum":"</v>
      </c>
      <c r="BD23" s="25">
        <v>0</v>
      </c>
      <c r="BE23" s="25" t="str">
        <f t="shared" si="27"/>
        <v>","TaxiFuel":"</v>
      </c>
      <c r="BF23" s="25">
        <v>100</v>
      </c>
      <c r="BG23" s="25" t="str">
        <f t="shared" si="28"/>
        <v>","ClimbBurn":"</v>
      </c>
      <c r="BH23" s="25">
        <v>1000</v>
      </c>
      <c r="BI23" s="25" t="str">
        <f t="shared" si="29"/>
        <v>","AWKBurn":"</v>
      </c>
      <c r="BJ23" s="25">
        <v>600</v>
      </c>
      <c r="BK23" s="25" t="str">
        <f t="shared" si="30"/>
        <v>","HoverBurn":"</v>
      </c>
      <c r="BL23" s="25">
        <v>600</v>
      </c>
      <c r="BM23" s="25" t="str">
        <f t="shared" si="31"/>
        <v>","HoldingTas":"</v>
      </c>
      <c r="BN23" s="25" t="s">
        <v>665</v>
      </c>
      <c r="BO23" s="25" t="str">
        <f t="shared" si="32"/>
        <v>","PlannedTas":"</v>
      </c>
      <c r="BP23" s="25">
        <v>300</v>
      </c>
      <c r="BQ23" s="25" t="str">
        <f t="shared" si="33"/>
        <v>","ClimbTas":"</v>
      </c>
      <c r="BR23" s="25">
        <v>200</v>
      </c>
      <c r="BS23" s="25" t="str">
        <f t="shared" si="34"/>
        <v>","CruiseTas":"</v>
      </c>
      <c r="BU23" s="25" t="str">
        <f t="shared" si="35"/>
        <v>","GlideTas":"</v>
      </c>
      <c r="BV23" s="25">
        <v>135</v>
      </c>
      <c r="BW23" s="25" t="str">
        <f t="shared" si="36"/>
        <v>","DescentTas":"</v>
      </c>
      <c r="BX23" s="25">
        <v>230</v>
      </c>
      <c r="BY23" s="25" t="str">
        <f t="shared" si="37"/>
        <v>","LoiterTas":"</v>
      </c>
      <c r="BZ23" s="25">
        <v>150</v>
      </c>
      <c r="CA23" s="25" t="str">
        <f t="shared" si="38"/>
        <v>","DescentRate":"</v>
      </c>
      <c r="CB23" s="25">
        <v>1500</v>
      </c>
      <c r="CC23" s="25" t="str">
        <f t="shared" si="39"/>
        <v>","ClimbRate":"</v>
      </c>
      <c r="CD23" s="25">
        <v>2000</v>
      </c>
      <c r="CE23" s="25" t="str">
        <f t="shared" si="40"/>
        <v>","GlideRatio":"</v>
      </c>
      <c r="CF23" s="25">
        <v>14</v>
      </c>
      <c r="CG23" s="25" t="str">
        <f t="shared" si="41"/>
        <v>","ServiceCeiling":"</v>
      </c>
      <c r="CH23" s="25">
        <v>35000</v>
      </c>
      <c r="CI23" s="25" t="s">
        <v>684</v>
      </c>
    </row>
    <row r="24" spans="1:87">
      <c r="A24" t="s">
        <v>678</v>
      </c>
    </row>
    <row r="27" spans="1:87">
      <c r="A27" s="73" t="str">
        <f>_xlfn.CONCAT(A3:A24)</f>
        <v>[{"id":"SLD","type":0,"Code":"L35","serial":"145","deliniator":"14","Performance":"C","Color":"Grey","Manufacturer":"Bombardier","WakeCategory":"M","profiles":[],"Engines":[],"Engine":"","Equipment" : {"SurveillanceEquipment":"EB1","PBN":"A1O2S1","EquipmentInformation":"SDFGHURZW","SafetyEquipment":"FG","EmergencyRadio":"0","NumberDinghies":"0","DinghiesCovered":"0","DinghyCapacity" : "0","DinghyColor":"0"},"STS":"","FuelCapacity":"6238","ReserveFuel":"520","FinalReserveTime":"30","ContingencyReserveFuel":"10","ContingencyFuelMinimum":"0","TaxiFuel":"150","ClimbBurn":"2000","AWKBurn":"1500","HoverBurn":"1040","HoldingTas":"200","PlannedTas":"430","ClimbTas":"400","CruiseTas":"","GlideTas":"200","DescentTas":"300","LoiterTas":"200","DescentRate":"2000","ClimbRate":"2000","GlideRatio":"10","ServiceCeiling":"45000"},{"id":"LRX","type":0,"Code":"L35","serial":"192","deliniator":"19","Performance":"C","Color":"White","Manufacturer":"Bombardier","WakeCategory":"M","profiles":[],"Engines":[],"Engine":"","Equipment" : {"SurveillanceEquipment":"EB1","PBN":"A1O2S1","EquipmentInformation":"SDFGHURZW","SafetyEquipment":"FG","EmergencyRadio":"0","NumberDinghies":"0","DinghiesCovered":"0","DinghyCapacity" : "0","DinghyColor":"0"},"STS":"","FuelCapacity":"6238","ReserveFuel":"520","FinalReserveTime":"30","ContingencyReserveFuel":"10","ContingencyFuelMinimum":"0","TaxiFuel":"150","ClimbBurn":"2000","AWKBurn":"1500","HoverBurn":"1040","HoldingTas":"200","PlannedTas":"430","ClimbTas":"400","CruiseTas":"","GlideTas":"200","DescentTas":"300","LoiterTas":"200","DescentRate":"2000","ClimbRate":"2000","GlideRatio":"10","ServiceCeiling":"45000"},{"id":"LJQ","type":1,"Code":"L35","serial":"231","deliniator":"23","Performance":"C","Color":"White","Manufacturer":"Bombardier","WakeCategory":"M","profiles":[],"Engines":[],"Engine":"","Equipment" : {"SurveillanceEquipment":"EB1","PBN":"A1O2S1","EquipmentInformation":"SDFGHURZW","SafetyEquipment":"FG","EmergencyRadio":"0","NumberDinghies":"0","DinghiesCovered":"0","DinghyCapacity" : "0","DinghyColor":"0"},"STS":"","FuelCapacity":"6988","ReserveFuel":"520","FinalReserveTime":"30","ContingencyReserveFuel":"10","ContingencyFuelMinimum":"0","TaxiFuel":"150","ClimbBurn":"2000","AWKBurn":"1500","HoverBurn":"1040","HoldingTas":"200","PlannedTas":"430","ClimbTas":"400","CruiseTas":"","GlideTas":"200","DescentTas":"300","LoiterTas":"200","DescentRate":"2000","ClimbRate":"2000","GlideRatio":"10","ServiceCeiling":"45000"},{"id":"LJJ","type":1,"Code":"L35","serial":"324","deliniator":"32","Performance":"C","Color":"White","Manufacturer":"Bombardier","WakeCategory":"M","profiles":[],"Engines":[],"Engine":"","Equipment" : {"SurveillanceEquipment":"EB1","PBN":"A1O2S1","EquipmentInformation":"SDFGHURZW","SafetyEquipment":"FG","EmergencyRadio":"0","NumberDinghies":"0","DinghiesCovered":"0","DinghyCapacity" : "0","DinghyColor":"0"},"STS":"","FuelCapacity":"6198","ReserveFuel":"520","FinalReserveTime":"30","ContingencyReserveFuel":"10","ContingencyFuelMinimum":"0","TaxiFuel":"150","ClimbBurn":"2000","AWKBurn":"1500","HoverBurn":"1040","HoldingTas":"200","PlannedTas":"430","ClimbTas":"400","CruiseTas":"","GlideTas":"200","DescentTas":"300","LoiterTas":"200","DescentRate":"2000","ClimbRate":"2000","GlideRatio":"10","ServiceCeiling":"45000"},{"id":"LJU","type":0,"Code":"L35","serial":"366","deliniator":"36","Performance":"C","Color":"White","Manufacturer":"Bombardier","WakeCategory":"M","profiles":[],"Engines":[],"Engine":"","Equipment" : {"SurveillanceEquipment":"EB1","PBN":"A1O2S1","EquipmentInformation":"SDFGHURZW","SafetyEquipment":"FG","EmergencyRadio":"0","NumberDinghies":"0","DinghiesCovered":"0","DinghyCapacity" : "0","DinghyColor":"0"},"STS":"","FuelCapacity":"6238","ReserveFuel":"520","FinalReserveTime":"30","ContingencyReserveFuel":"10","ContingencyFuelMinimum":"0","TaxiFuel":"150","ClimbBurn":"2000","AWKBurn":"1500","HoverBurn":"1040","HoldingTas":"200","PlannedTas":"430","ClimbTas":"400","CruiseTas":"","GlideTas":"200","DescentTas":"300","LoiterTas":"200","DescentRate":"2000","ClimbRate":"2000","GlideRatio":"10","ServiceCeiling":"45000"},{"id":"LPS","type":1,"Code":"L35","serial":"407","deliniator":"40","Performance":"C","Color":"White","Manufacturer":"Bombardier","WakeCategory":"M","profiles":[],"Engines":[],"Engine":"","Equipment" : {"SurveillanceEquipment":"EB1","PBN":"A1O2S2","EquipmentInformation":"SDFGHURZW","SafetyEquipment":"FG","EmergencyRadio":"0","NumberDinghies":"0","DinghiesCovered":"0","DinghyCapacity" : "0","DinghyColor":"0"},"STS":"","FuelCapacity":"6988","ReserveFuel":"520","FinalReserveTime":"30","ContingencyReserveFuel":"10","ContingencyFuelMinimum":"0","TaxiFuel":"150","ClimbBurn":"2000","AWKBurn":"1500","HoverBurn":"1040","HoldingTas":"200","PlannedTas":"430","ClimbTas":"400","CruiseTas":"","GlideTas":"200","DescentTas":"300","LoiterTas":"200","DescentRate":"2000","ClimbRate":"2000","GlideRatio":"10","ServiceCeiling":"45000"},{"id":"SLE","type":0,"Code":"L35","serial":"428","deliniator":"42","Performance":"C","Color":"White","Manufacturer":"Bombardier","WakeCategory":"M","profiles":[],"Engines":[],"Engine":"","Equipment" : {"SurveillanceEquipment":"EB1","PBN":"A1O2S1","EquipmentInformation":"SDFGHURZW","SafetyEquipment":"FG","EmergencyRadio":"0","NumberDinghies":"0","DinghiesCovered":"0","DinghyCapacity" : "0","DinghyColor":"0"},"STS":"","FuelCapacity":"6238","ReserveFuel":"520","FinalReserveTime":"30","ContingencyReserveFuel":"10","ContingencyFuelMinimum":"0","TaxiFuel":"150","ClimbBurn":"2000","AWKBurn":"1500","HoverBurn":"1040","HoldingTas":"200","PlannedTas":"430","ClimbTas":"400","CruiseTas":"","GlideTas":"200","DescentTas":"300","LoiterTas":"200","DescentRate":"2000","ClimbRate":"2000","GlideRatio":"10","ServiceCeiling":"45000"},{"id":"VLJ","type":0,"Code":"L35","serial":"432","deliniator":"43","Performance":"C","Color":"Silver","Manufacturer":"Bombardier","WakeCategory":"M","profiles":[],"Engines":[],"Engine":"","Equipment" : {"SurveillanceEquipment":"EB1","PBN":"A1O2S1","EquipmentInformation":"SDGHURZW","SafetyEquipment":"FG","EmergencyRadio":"0","NumberDinghies":"0","DinghiesCovered":"0","DinghyCapacity" : "0","DinghyColor":"0"},"STS":"","FuelCapacity":"6238","ReserveFuel":"520","FinalReserveTime":"30","ContingencyReserveFuel":"10","ContingencyFuelMinimum":"0","TaxiFuel":"150","ClimbBurn":"2000","AWKBurn":"1500","HoverBurn":"1040","HoldingTas":"200","PlannedTas":"430","ClimbTas":"400","CruiseTas":"","GlideTas":"200","DescentTas":"300","LoiterTas":"200","DescentRate":"2000","ClimbRate":"2000","GlideRatio":"10","ServiceCeiling":"45000"},{"id":"LFA","type":0,"Code":"L35","serial":"444","deliniator":"44","Performance":"C","Color":"White","Manufacturer":"Bombardier","WakeCategory":"M","profiles":[],"Engines":[],"Engine":"","Equipment" : {"SurveillanceEquipment":"EB1","PBN":"A1O2S2","EquipmentInformation":"SDFGHURZW","SafetyEquipment":"FG","EmergencyRadio":"0","NumberDinghies":"0","DinghiesCovered":"0","DinghyCapacity" : "0","DinghyColor":"0"},"STS":"","FuelCapacity":"6238","ReserveFuel":"520","FinalReserveTime":"30","ContingencyReserveFuel":"10","ContingencyFuelMinimum":"0","TaxiFuel":"150","ClimbBurn":"2000","AWKBurn":"1500","HoverBurn":"1040","HoldingTas":"200","PlannedTas":"430","ClimbTas":"400","CruiseTas":"","GlideTas":"200","DescentTas":"300","LoiterTas":"200","DescentRate":"2000","ClimbRate":"2000","GlideRatio":"10","ServiceCeiling":"45000"},{"id":"LRH","type":1,"Code":"L35","serial":"527","deliniator":"52","Performance":"C","Color":"White","Manufacturer":"Bombardier","WakeCategory":"M","profiles":[],"Engines":[],"Engine":"","Equipment" : {"SurveillanceEquipment":"EB1","PBN":"O2S1","EquipmentInformation":"SDFGHURZW","SafetyEquipment":"FG","EmergencyRadio":"0","NumberDinghies":"0","DinghiesCovered":"0","DinghyCapacity" : "0","DinghyColor":"0"},"STS":"","FuelCapacity":"6988","ReserveFuel":"520","FinalReserveTime":"30","ContingencyReserveFuel":"10","ContingencyFuelMinimum":"0","TaxiFuel":"150","ClimbBurn":"2000","AWKBurn":"1500","HoverBurn":"1040","HoldingTas":"200","PlannedTas":"430","ClimbTas":"400","CruiseTas":"","GlideTas":"200","DescentTas":"300","LoiterTas":"200","DescentRate":"2000","ClimbRate":"2000","GlideRatio":"10","ServiceCeiling":"45000"},{"id":"SLF","type":2,"Code":"L36","serial":"049","deliniator":"04","Performance":"C","Color":"White","Manufacturer":"Bombardier","WakeCategory":"M","profiles":[],"Engines":[],"Engine":"","Equipment" : {"SurveillanceEquipment":"EB1","PBN":"A1O2S2","EquipmentInformation":"SDFGHURZW","SafetyEquipment":"FG","EmergencyRadio":"0","NumberDinghies":"0","DinghiesCovered":"0","DinghyCapacity" : "0","DinghyColor":"0"},"STS":"","FuelCapacity":"7400","ReserveFuel":"520","FinalReserveTime":"30","ContingencyReserveFuel":"10","ContingencyFuelMinimum":"0","TaxiFuel":"150","ClimbBurn":"2000","AWKBurn":"1500","HoverBurn":"1040","HoldingTas":"200","PlannedTas":"430","ClimbTas":"400","CruiseTas":"","GlideTas":"200","DescentTas":"300","LoiterTas":"200","DescentRate":"2000","ClimbRate":"2000","GlideRatio":"10","ServiceCeiling":"45000"},{"id":"LJA","type":3,"Code":"L36","serial":"040","deliniator":"82","Performance":"C","Color":"White","Manufacturer":"Bombardier","WakeCategory":"M","profiles":[],"Engines":[],"Engine":"","Equipment" : {"SurveillanceEquipment":"EB1","PBN":"O2S1","EquipmentInformation":"SDFGHURZW","SafetyEquipment":"FG","EmergencyRadio":"0","NumberDinghies":"0","DinghiesCovered":"0","DinghyCapacity" : "0","DinghyColor":"0"},"STS":"","FuelCapacity":"8190","ReserveFuel":"520","FinalReserveTime":"30","ContingencyReserveFuel":"10","ContingencyFuelMinimum":"0","TaxiFuel":"150","ClimbBurn":"2000","AWKBurn":"1500","HoverBurn":"1040","HoldingTas":"200","PlannedTas":"430","ClimbTas":"400","CruiseTas":"","GlideTas":"200","DescentTas":"300","LoiterTas":"200","DescentRate":"2000","ClimbRate":"2000","GlideRatio":"10","ServiceCeiling":"45000"},{"id":"SLJ","type":2,"Code":"L36","serial":"014","deliniator":"01","Performance":"C","Color":"White","Manufacturer":"Bombardier","WakeCategory":"M","profiles":[],"Engines":[],"Engine":"","Equipment" : {"SurveillanceEquipment":"EB1","PBN":"A1O2S1","EquipmentInformation":"SDFGHURZW","SafetyEquipment":"FG","EmergencyRadio":"0","NumberDinghies":"0","DinghiesCovered":"0","DinghyCapacity" : "0","DinghyColor":"0"},"STS":"","FuelCapacity":"7400","ReserveFuel":"520","FinalReserveTime":"30","ContingencyReserveFuel":"10","ContingencyFuelMinimum":"0","TaxiFuel":"150","ClimbBurn":"2000","AWKBurn":"1500","HoverBurn":"1040","HoldingTas":"200","PlannedTas":"430","ClimbTas":"400","CruiseTas":"","GlideTas":"200","DescentTas":"300","LoiterTas":"200","DescentRate":"2000","ClimbRate":"2000","GlideRatio":"10","ServiceCeiling":"45000"},{"id":"LPX","type":5,"Code":"L31","serial":"144","deliniator":"14","Performance":"C","Color":"White","Manufacturer":"Bombardier","WakeCategory":"M","profiles":[],"Engines":[],"Engine":"","Equipment" : {"SurveillanceEquipment":"EB1","PBN":"O2S2","EquipmentInformation":"SDFGHURZW","SafetyEquipment":"FG","EmergencyRadio":"0","NumberDinghies":"0","DinghiesCovered":"0","DinghyCapacity" : "0","DinghyColor":"0"},"STS":"","FuelCapacity":"4653","ReserveFuel":"485","FinalReserveTime":"30","ContingencyReserveFuel":"10","ContingencyFuelMinimum":"0","TaxiFuel":"100","ClimbBurn":"2000","AWKBurn":"1500","HoverBurn":"970","HoldingTas":"200","PlannedTas":"435","ClimbTas":"400","CruiseTas":"","GlideTas":"200","DescentTas":"300","LoiterTas":"200","DescentRate":"2000","ClimbRate":"2000","GlideRatio":"10","ServiceCeiling":"45000"},{"id":"LJW","type":4,"Code":"L31","serial":"055","deliniator":"05","Performance":"C","Color":"White","Manufacturer":"Bombardier","WakeCategory":"M","profiles":[],"Engines":[],"Engine":"","Equipment" : {"SurveillanceEquipment":"EB1","PBN":"O2S2","EquipmentInformation":"SDFGHIRZ","SafetyEquipment":"FG","EmergencyRadio":"0","NumberDinghies":"0","DinghiesCovered":"0","DinghyCapacity" : "0","DinghyColor":"0"},"STS":"","FuelCapacity":"4124","ReserveFuel":"485","FinalReserveTime":"30","ContingencyReserveFuel":"10","ContingencyFuelMinimum":"0","TaxiFuel":"100","ClimbBurn":"2000","AWKBurn":"1500","HoverBurn":"970","HoldingTas":"200","PlannedTas":"435","ClimbTas":"400","CruiseTas":"","GlideTas":"200","DescentTas":"300","LoiterTas":"200","DescentRate":"2000","ClimbRate":"2000","GlideRatio":"10","ServiceCeiling":"45000"},{"id":"NPP","type":6,"Code":"L60","serial":"158","deliniator":"15","Performance":"C","Color":"White","Manufacturer":"Bombardier","WakeCategory":"M","profiles":[],"Engines":[],"Engine":"","Equipment" : {"SurveillanceEquipment":"EB1","PBN":"A1B2C2D2L1O2S2","EquipmentInformation":"SDFGHURZW","SafetyEquipment":"FG","EmergencyRadio":"0","NumberDinghies":"0","DinghiesCovered":"0","DinghyCapacity" : "0","DinghyColor":"0"},"STS":"","FuelCapacity":"7900","ReserveFuel":"600","FinalReserveTime":"30","ContingencyReserveFuel":"10","ContingencyFuelMinimum":"0","TaxiFuel":"250","ClimbBurn":"3000","AWKBurn":"2000","HoverBurn":"1120","HoldingTas":"200","PlannedTas":"445","ClimbTas":"400","CruiseTas":"","GlideTas":"200","DescentTas":"300","LoiterTas":"200","DescentRate":"2000","ClimbRate":"2000","GlideRatio":"10","ServiceCeiling":"45000"},{"id":"LJZ","type":6,"Code":"L60","serial":"108","deliniator":"10","Performance":"C","Color":"White","Manufacturer":"Bombardier","WakeCategory":"M","profiles":[],"Engines":[],"Engine":"","Equipment" : {"SurveillanceEquipment":"EB1","PBN":"O2S1","EquipmentInformation":"SDFGHURZW","SafetyEquipment":"FG","EmergencyRadio":"0","NumberDinghies":"0","DinghiesCovered":"0","DinghyCapacity" : "0","DinghyColor":"0"},"STS":"","FuelCapacity":"7900","ReserveFuel":"600","FinalReserveTime":"30","ContingencyReserveFuel":"10","ContingencyFuelMinimum":"0","TaxiFuel":"250","ClimbBurn":"3000","AWKBurn":"2000","HoverBurn":"1120","HoldingTas":"200","PlannedTas":"445","ClimbTas":"400","CruiseTas":"","GlideTas":"200","DescentTas":"300","LoiterTas":"200","DescentRate":"2000","ClimbRate":"2000","GlideRatio":"10","ServiceCeiling":"45000"},{"id":"LPJ","type":6,"Code":"L60","serial":"162","deliniator":"16","Performance":"C","Color":"White","Manufacturer":"Bombardier","WakeCategory":"M","profiles":[],"Engines":[],"Engine":"","Equipment" : {"SurveillanceEquipment":"EB1","PBN":"","EquipmentInformation":"","SafetyEquipment":"FG","EmergencyRadio":"0","NumberDinghies":"0","DinghiesCovered":"0","DinghyCapacity" : "0","DinghyColor":"0"},"STS":"","FuelCapacity":"7900","ReserveFuel":"600","FinalReserveTime":"30","ContingencyReserveFuel":"10","ContingencyFuelMinimum":"0","TaxiFuel":"250","ClimbBurn":"3000","AWKBurn":"2000","HoverBurn":"1120","HoldingTas":"200","PlannedTas":"445","ClimbTas":"400","CruiseTas":"","GlideTas":"200","DescentTas":"300","LoiterTas":"200","DescentRate":"2000","ClimbRate":"2000","GlideRatio":"10","ServiceCeiling":"45000"},{"id":"LAB","type":7,"Code":"B200","serial":"023","deliniator":"","Performance":"B","Color":"White","Manufacturer":"Beechcraft","WakeCategory":"L","profiles":[],"Engines":[],"Engine":"","Equipment" : {"SurveillanceEquipment":"EB1","PBN":"O2S1","EquipmentInformation":"SDFGHRZ","SafetyEquipment":"FG","EmergencyRadio":"0","NumberDinghies":"0","DinghiesCovered":"0","DinghyCapacity" : "0","DinghyColor":"0"},"STS":"","FuelCapacity":"3611","ReserveFuel":"450","FinalReserveTime":"30","ContingencyReserveFuel":"10","ContingencyFuelMinimum":"0","TaxiFuel":"100","ClimbBurn":"1000","AWKBurn":"600","HoverBurn":"600","HoldingTas":"200","PlannedTas":"300","ClimbTas":"200","CruiseTas":"","GlideTas":"135","DescentTas":"230","LoiterTas":"150","DescentRate":"1500","ClimbRate":"2000","GlideRatio":"14","ServiceCeiling":"35000"},{"id":"ZMP","type":7,"Code":"B200","serial":"259","deliniator":"","Performance":"B","Color":"White","Manufacturer":"Beechcraft","WakeCategory":"L","profiles":[],"Engines":[],"Engine":"","Equipment" : {"SurveillanceEquipment":"EB1","PBN":"O2S1","EquipmentInformation":"SDFGHRZ","SafetyEquipment":"FG","EmergencyRadio":"0","NumberDinghies":"0","DinghiesCovered":"0","DinghyCapacity" : "0","DinghyColor":"0"},"STS":"","FuelCapacity":"3611","ReserveFuel":"450","FinalReserveTime":"30","ContingencyReserveFuel":"10","ContingencyFuelMinimum":"0","TaxiFuel":"100","ClimbBurn":"1000","AWKBurn":"600","HoverBurn":"600","HoldingTas":"200","PlannedTas":"300","ClimbTas":"200","CruiseTas":"","GlideTas":"135","DescentTas":"230","LoiterTas":"150","DescentRate":"1500","ClimbRate":"2000","GlideRatio":"14","ServiceCeiling":"35000"}]</v>
      </c>
    </row>
    <row r="30" spans="1:87">
      <c r="A30" s="73" t="str">
        <f>A5</f>
        <v>{"id":"LRX","type":0,"Code":"L35","serial":"192","deliniator":"19","Performance":"C","Color":"White","Manufacturer":"Bombardier","WakeCategory":"M","profiles":[],"Engines":[],"Engine":"","Equipment" : {"SurveillanceEquipment":"EB1","PBN":"A1O2S1","EquipmentInformation":"SDFGHURZW","SafetyEquipment":"FG","EmergencyRadio":"0","NumberDinghies":"0","DinghiesCovered":"0","DinghyCapacity" : "0","DinghyColor":"0"},"STS":"","FuelCapacity":"6238","ReserveFuel":"520","FinalReserveTime":"30","ContingencyReserveFuel":"10","ContingencyFuelMinimum":"0","TaxiFuel":"150","ClimbBurn":"2000","AWKBurn":"1500","HoverBurn":"1040","HoldingTas":"200","PlannedTas":"430","ClimbTas":"400","CruiseTas":"","GlideTas":"200","DescentTas":"300","LoiterTas":"200","DescentRate":"2000","ClimbRate":"2000","GlideRatio":"10","ServiceCeiling":"45000"},</v>
      </c>
    </row>
  </sheetData>
  <phoneticPr fontId="1" type="noConversion"/>
  <pageMargins left="0.7" right="0.7" top="0.75" bottom="0.75" header="0.3" footer="0.3"/>
  <pageSetup paperSize="9" orientation="landscape"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3E54C-8792-411F-99C5-C71813D70005}">
  <sheetPr codeName="Sheet2"/>
  <dimension ref="A1:AD105"/>
  <sheetViews>
    <sheetView workbookViewId="0">
      <selection activeCell="B1" sqref="B1"/>
    </sheetView>
  </sheetViews>
  <sheetFormatPr defaultRowHeight="15"/>
  <cols>
    <col min="16" max="16" width="9.28515625" customWidth="1"/>
    <col min="17" max="17" width="10.140625" customWidth="1"/>
    <col min="20" max="20" width="18.85546875" customWidth="1"/>
  </cols>
  <sheetData>
    <row r="1" spans="1:30">
      <c r="A1" t="s">
        <v>131</v>
      </c>
      <c r="B1" t="s">
        <v>215</v>
      </c>
    </row>
    <row r="2" spans="1:30">
      <c r="A2" t="s">
        <v>177</v>
      </c>
      <c r="B2" t="s">
        <v>42</v>
      </c>
      <c r="C2" t="s">
        <v>43</v>
      </c>
      <c r="D2" t="s">
        <v>48</v>
      </c>
      <c r="E2" t="s">
        <v>51</v>
      </c>
      <c r="F2" t="s">
        <v>59</v>
      </c>
      <c r="G2" t="s">
        <v>178</v>
      </c>
      <c r="H2" t="s">
        <v>179</v>
      </c>
      <c r="I2" t="s">
        <v>52</v>
      </c>
      <c r="J2" t="s">
        <v>44</v>
      </c>
      <c r="K2" t="s">
        <v>180</v>
      </c>
      <c r="L2" t="s">
        <v>181</v>
      </c>
      <c r="M2" t="s">
        <v>62</v>
      </c>
    </row>
    <row r="3" spans="1:30">
      <c r="A3">
        <v>45000</v>
      </c>
      <c r="B3" s="4">
        <v>410</v>
      </c>
      <c r="C3" s="4">
        <v>1800</v>
      </c>
      <c r="D3" s="4">
        <v>1</v>
      </c>
      <c r="E3" s="4">
        <v>434</v>
      </c>
      <c r="F3" s="4">
        <v>1285</v>
      </c>
      <c r="G3" s="4">
        <v>0</v>
      </c>
      <c r="H3" s="4">
        <v>0</v>
      </c>
      <c r="I3" s="4">
        <v>0</v>
      </c>
      <c r="J3" s="4">
        <v>0</v>
      </c>
      <c r="K3" s="4">
        <v>0</v>
      </c>
      <c r="L3" s="4">
        <v>0</v>
      </c>
      <c r="M3" s="4">
        <v>0</v>
      </c>
      <c r="O3" t="s">
        <v>182</v>
      </c>
      <c r="P3" t="s">
        <v>216</v>
      </c>
      <c r="Q3" t="s">
        <v>217</v>
      </c>
      <c r="R3" t="s">
        <v>218</v>
      </c>
      <c r="S3" t="s">
        <v>219</v>
      </c>
      <c r="T3" t="s">
        <v>220</v>
      </c>
      <c r="U3" t="s">
        <v>221</v>
      </c>
      <c r="V3" t="s">
        <v>222</v>
      </c>
      <c r="W3" t="s">
        <v>223</v>
      </c>
      <c r="X3" t="s">
        <v>224</v>
      </c>
      <c r="Y3" t="s">
        <v>225</v>
      </c>
      <c r="Z3" t="s">
        <v>226</v>
      </c>
      <c r="AA3" t="s">
        <v>227</v>
      </c>
      <c r="AB3" t="s">
        <v>228</v>
      </c>
      <c r="AD3" t="s">
        <v>229</v>
      </c>
    </row>
    <row r="4" spans="1:30">
      <c r="A4">
        <v>43000</v>
      </c>
      <c r="B4" s="4">
        <v>410</v>
      </c>
      <c r="C4" s="4">
        <v>1835</v>
      </c>
      <c r="D4" s="4">
        <v>1</v>
      </c>
      <c r="E4" s="4">
        <v>437</v>
      </c>
      <c r="F4" s="4">
        <v>1254</v>
      </c>
      <c r="G4" s="4">
        <v>0</v>
      </c>
      <c r="H4" s="4">
        <v>0</v>
      </c>
      <c r="I4" s="4">
        <v>0</v>
      </c>
      <c r="J4" s="4">
        <v>0</v>
      </c>
      <c r="K4" s="4">
        <v>0</v>
      </c>
      <c r="L4" s="4">
        <v>0</v>
      </c>
      <c r="M4" s="4">
        <v>0</v>
      </c>
      <c r="O4" t="s">
        <v>71</v>
      </c>
      <c r="P4" t="s">
        <v>230</v>
      </c>
      <c r="Q4" t="s">
        <v>217</v>
      </c>
      <c r="R4" t="s">
        <v>231</v>
      </c>
      <c r="S4" t="s">
        <v>219</v>
      </c>
      <c r="T4" t="s">
        <v>232</v>
      </c>
      <c r="U4" t="s">
        <v>233</v>
      </c>
      <c r="V4" t="s">
        <v>222</v>
      </c>
      <c r="W4" t="s">
        <v>223</v>
      </c>
      <c r="X4" t="s">
        <v>224</v>
      </c>
      <c r="Y4" t="s">
        <v>225</v>
      </c>
      <c r="Z4" t="s">
        <v>226</v>
      </c>
      <c r="AA4" t="s">
        <v>227</v>
      </c>
      <c r="AB4" t="s">
        <v>228</v>
      </c>
      <c r="AD4" t="s">
        <v>234</v>
      </c>
    </row>
    <row r="5" spans="1:30">
      <c r="A5">
        <v>41000</v>
      </c>
      <c r="B5" s="4">
        <v>410</v>
      </c>
      <c r="C5" s="4">
        <v>1872</v>
      </c>
      <c r="D5" s="4">
        <v>221</v>
      </c>
      <c r="E5" s="4">
        <v>440</v>
      </c>
      <c r="F5" s="4">
        <v>1246</v>
      </c>
      <c r="G5" s="4">
        <v>0</v>
      </c>
      <c r="H5" s="4">
        <v>0</v>
      </c>
      <c r="I5" s="4">
        <v>0</v>
      </c>
      <c r="J5" s="4">
        <v>0</v>
      </c>
      <c r="K5" s="4">
        <v>0</v>
      </c>
      <c r="L5" s="4">
        <v>0</v>
      </c>
      <c r="M5" s="4">
        <v>0</v>
      </c>
      <c r="O5" t="s">
        <v>71</v>
      </c>
      <c r="P5" t="s">
        <v>235</v>
      </c>
      <c r="Q5" t="s">
        <v>217</v>
      </c>
      <c r="R5" t="s">
        <v>236</v>
      </c>
      <c r="S5" t="s">
        <v>237</v>
      </c>
      <c r="T5" t="s">
        <v>238</v>
      </c>
      <c r="U5" t="s">
        <v>239</v>
      </c>
      <c r="V5" t="s">
        <v>222</v>
      </c>
      <c r="W5" t="s">
        <v>223</v>
      </c>
      <c r="X5" t="s">
        <v>224</v>
      </c>
      <c r="Y5" t="s">
        <v>225</v>
      </c>
      <c r="Z5" t="s">
        <v>226</v>
      </c>
      <c r="AA5" t="s">
        <v>227</v>
      </c>
      <c r="AB5" t="s">
        <v>228</v>
      </c>
      <c r="AD5" t="s">
        <v>240</v>
      </c>
    </row>
    <row r="6" spans="1:30">
      <c r="A6">
        <v>39000</v>
      </c>
      <c r="B6" s="4">
        <v>410</v>
      </c>
      <c r="C6" s="4">
        <v>1911</v>
      </c>
      <c r="D6" s="4">
        <v>489</v>
      </c>
      <c r="E6" s="4">
        <v>442</v>
      </c>
      <c r="F6" s="4">
        <v>1260</v>
      </c>
      <c r="G6" s="4">
        <v>0</v>
      </c>
      <c r="H6" s="4">
        <v>0</v>
      </c>
      <c r="I6" s="4">
        <v>0</v>
      </c>
      <c r="J6" s="4">
        <v>0</v>
      </c>
      <c r="K6" s="4">
        <v>0</v>
      </c>
      <c r="L6" s="4">
        <v>0</v>
      </c>
      <c r="M6" s="4">
        <v>0</v>
      </c>
      <c r="O6" t="s">
        <v>71</v>
      </c>
      <c r="P6" t="s">
        <v>241</v>
      </c>
      <c r="Q6" t="s">
        <v>217</v>
      </c>
      <c r="R6" t="s">
        <v>242</v>
      </c>
      <c r="S6" t="s">
        <v>243</v>
      </c>
      <c r="T6" t="s">
        <v>244</v>
      </c>
      <c r="U6" t="s">
        <v>245</v>
      </c>
      <c r="V6" t="s">
        <v>222</v>
      </c>
      <c r="W6" t="s">
        <v>223</v>
      </c>
      <c r="X6" t="s">
        <v>224</v>
      </c>
      <c r="Y6" t="s">
        <v>225</v>
      </c>
      <c r="Z6" t="s">
        <v>226</v>
      </c>
      <c r="AA6" t="s">
        <v>227</v>
      </c>
      <c r="AB6" t="s">
        <v>228</v>
      </c>
      <c r="AD6" t="s">
        <v>246</v>
      </c>
    </row>
    <row r="7" spans="1:30">
      <c r="A7">
        <v>37000</v>
      </c>
      <c r="B7" s="4">
        <v>410</v>
      </c>
      <c r="C7" s="4">
        <v>1952</v>
      </c>
      <c r="D7" s="4">
        <v>747</v>
      </c>
      <c r="E7" s="4">
        <v>444</v>
      </c>
      <c r="F7" s="4">
        <v>1294</v>
      </c>
      <c r="G7" s="4">
        <v>0</v>
      </c>
      <c r="H7" s="4">
        <v>0</v>
      </c>
      <c r="I7" s="4">
        <v>0</v>
      </c>
      <c r="J7" s="4">
        <v>0</v>
      </c>
      <c r="K7" s="4">
        <v>0</v>
      </c>
      <c r="L7" s="4">
        <v>0</v>
      </c>
      <c r="M7" s="4">
        <v>0</v>
      </c>
      <c r="O7" t="s">
        <v>71</v>
      </c>
      <c r="P7" t="s">
        <v>247</v>
      </c>
      <c r="Q7" t="s">
        <v>217</v>
      </c>
      <c r="R7" t="s">
        <v>248</v>
      </c>
      <c r="S7" t="s">
        <v>249</v>
      </c>
      <c r="T7" t="s">
        <v>250</v>
      </c>
      <c r="U7" t="s">
        <v>251</v>
      </c>
      <c r="V7" t="s">
        <v>222</v>
      </c>
      <c r="W7" t="s">
        <v>223</v>
      </c>
      <c r="X7" t="s">
        <v>224</v>
      </c>
      <c r="Y7" t="s">
        <v>225</v>
      </c>
      <c r="Z7" t="s">
        <v>226</v>
      </c>
      <c r="AA7" t="s">
        <v>227</v>
      </c>
      <c r="AB7" t="s">
        <v>228</v>
      </c>
      <c r="AD7" t="s">
        <v>252</v>
      </c>
    </row>
    <row r="8" spans="1:30">
      <c r="A8">
        <v>35000</v>
      </c>
      <c r="B8" s="4">
        <v>412</v>
      </c>
      <c r="C8" s="4">
        <v>1994</v>
      </c>
      <c r="D8" s="4">
        <v>996</v>
      </c>
      <c r="E8" s="4">
        <v>444</v>
      </c>
      <c r="F8" s="4">
        <v>1348</v>
      </c>
      <c r="G8" s="4">
        <v>0</v>
      </c>
      <c r="H8" s="4">
        <v>0</v>
      </c>
      <c r="I8" s="4">
        <v>0</v>
      </c>
      <c r="J8" s="4">
        <v>0</v>
      </c>
      <c r="K8" s="4">
        <v>0</v>
      </c>
      <c r="L8" s="4">
        <v>0</v>
      </c>
      <c r="M8" s="4">
        <v>0</v>
      </c>
      <c r="O8" t="s">
        <v>71</v>
      </c>
      <c r="P8" t="s">
        <v>253</v>
      </c>
      <c r="Q8" t="s">
        <v>254</v>
      </c>
      <c r="R8" t="s">
        <v>255</v>
      </c>
      <c r="S8" t="s">
        <v>256</v>
      </c>
      <c r="T8" t="s">
        <v>250</v>
      </c>
      <c r="U8" t="s">
        <v>257</v>
      </c>
      <c r="V8" t="s">
        <v>222</v>
      </c>
      <c r="W8" t="s">
        <v>223</v>
      </c>
      <c r="X8" t="s">
        <v>224</v>
      </c>
      <c r="Y8" t="s">
        <v>225</v>
      </c>
      <c r="Z8" t="s">
        <v>226</v>
      </c>
      <c r="AA8" t="s">
        <v>227</v>
      </c>
      <c r="AB8" t="s">
        <v>228</v>
      </c>
      <c r="AD8" t="s">
        <v>258</v>
      </c>
    </row>
    <row r="9" spans="1:30">
      <c r="A9">
        <v>33000</v>
      </c>
      <c r="B9" s="4">
        <v>416</v>
      </c>
      <c r="C9" s="4">
        <v>2038</v>
      </c>
      <c r="D9" s="4">
        <v>1235</v>
      </c>
      <c r="E9" s="4">
        <v>444</v>
      </c>
      <c r="F9" s="4">
        <v>1419</v>
      </c>
      <c r="G9" s="4">
        <v>0</v>
      </c>
      <c r="H9" s="4">
        <v>0</v>
      </c>
      <c r="I9" s="4">
        <v>0</v>
      </c>
      <c r="J9" s="4">
        <v>0</v>
      </c>
      <c r="K9" s="4">
        <v>0</v>
      </c>
      <c r="L9" s="4">
        <v>0</v>
      </c>
      <c r="M9" s="4">
        <v>0</v>
      </c>
      <c r="O9" t="s">
        <v>71</v>
      </c>
      <c r="P9" t="s">
        <v>259</v>
      </c>
      <c r="Q9" t="s">
        <v>260</v>
      </c>
      <c r="R9" t="s">
        <v>261</v>
      </c>
      <c r="S9" t="s">
        <v>262</v>
      </c>
      <c r="T9" t="s">
        <v>250</v>
      </c>
      <c r="U9" t="s">
        <v>263</v>
      </c>
      <c r="V9" t="s">
        <v>222</v>
      </c>
      <c r="W9" t="s">
        <v>223</v>
      </c>
      <c r="X9" t="s">
        <v>224</v>
      </c>
      <c r="Y9" t="s">
        <v>225</v>
      </c>
      <c r="Z9" t="s">
        <v>226</v>
      </c>
      <c r="AA9" t="s">
        <v>227</v>
      </c>
      <c r="AB9" t="s">
        <v>228</v>
      </c>
      <c r="AD9" t="s">
        <v>264</v>
      </c>
    </row>
    <row r="10" spans="1:30">
      <c r="A10">
        <v>31000</v>
      </c>
      <c r="B10" s="4">
        <v>408</v>
      </c>
      <c r="C10" s="4">
        <v>2085</v>
      </c>
      <c r="D10" s="4">
        <v>1465</v>
      </c>
      <c r="E10" s="4">
        <v>443</v>
      </c>
      <c r="F10" s="4">
        <v>1508</v>
      </c>
      <c r="G10" s="4">
        <v>0</v>
      </c>
      <c r="H10" s="4">
        <v>0</v>
      </c>
      <c r="I10" s="4">
        <v>0</v>
      </c>
      <c r="J10" s="4">
        <v>0</v>
      </c>
      <c r="K10" s="4">
        <v>0</v>
      </c>
      <c r="L10" s="4">
        <v>0</v>
      </c>
      <c r="M10" s="4">
        <v>0</v>
      </c>
      <c r="O10" t="s">
        <v>71</v>
      </c>
      <c r="P10" t="s">
        <v>265</v>
      </c>
      <c r="Q10" t="s">
        <v>266</v>
      </c>
      <c r="R10" t="s">
        <v>267</v>
      </c>
      <c r="S10" t="s">
        <v>268</v>
      </c>
      <c r="T10" t="s">
        <v>269</v>
      </c>
      <c r="U10" t="s">
        <v>270</v>
      </c>
      <c r="V10" t="s">
        <v>222</v>
      </c>
      <c r="W10" t="s">
        <v>223</v>
      </c>
      <c r="X10" t="s">
        <v>224</v>
      </c>
      <c r="Y10" t="s">
        <v>225</v>
      </c>
      <c r="Z10" t="s">
        <v>226</v>
      </c>
      <c r="AA10" t="s">
        <v>227</v>
      </c>
      <c r="AB10" t="s">
        <v>228</v>
      </c>
      <c r="AD10" t="s">
        <v>271</v>
      </c>
    </row>
    <row r="11" spans="1:30">
      <c r="A11">
        <v>29000</v>
      </c>
      <c r="B11" s="4">
        <v>395</v>
      </c>
      <c r="C11" s="4">
        <v>2133</v>
      </c>
      <c r="D11" s="4">
        <v>1685</v>
      </c>
      <c r="E11" s="4">
        <v>440</v>
      </c>
      <c r="F11" s="4">
        <v>1611</v>
      </c>
      <c r="G11" s="4">
        <v>0</v>
      </c>
      <c r="H11" s="4">
        <v>0</v>
      </c>
      <c r="I11" s="4">
        <v>0</v>
      </c>
      <c r="J11" s="4">
        <v>0</v>
      </c>
      <c r="K11" s="4">
        <v>0</v>
      </c>
      <c r="L11" s="4">
        <v>0</v>
      </c>
      <c r="M11" s="4">
        <v>0</v>
      </c>
      <c r="O11" t="s">
        <v>71</v>
      </c>
      <c r="P11" t="s">
        <v>272</v>
      </c>
      <c r="Q11" t="s">
        <v>273</v>
      </c>
      <c r="R11" t="s">
        <v>274</v>
      </c>
      <c r="S11" t="s">
        <v>275</v>
      </c>
      <c r="T11" t="s">
        <v>238</v>
      </c>
      <c r="U11" t="s">
        <v>276</v>
      </c>
      <c r="V11" t="s">
        <v>222</v>
      </c>
      <c r="W11" t="s">
        <v>223</v>
      </c>
      <c r="X11" t="s">
        <v>224</v>
      </c>
      <c r="Y11" t="s">
        <v>225</v>
      </c>
      <c r="Z11" t="s">
        <v>226</v>
      </c>
      <c r="AA11" t="s">
        <v>227</v>
      </c>
      <c r="AB11" t="s">
        <v>228</v>
      </c>
      <c r="AD11" t="s">
        <v>277</v>
      </c>
    </row>
    <row r="12" spans="1:30">
      <c r="A12">
        <v>27000</v>
      </c>
      <c r="B12" s="4">
        <v>383</v>
      </c>
      <c r="C12" s="4">
        <v>2183</v>
      </c>
      <c r="D12" s="4">
        <v>1896</v>
      </c>
      <c r="E12" s="4">
        <v>437</v>
      </c>
      <c r="F12" s="4">
        <v>1728</v>
      </c>
      <c r="G12" s="4">
        <v>0</v>
      </c>
      <c r="H12" s="4">
        <v>0</v>
      </c>
      <c r="I12" s="4">
        <v>0</v>
      </c>
      <c r="J12" s="4">
        <v>0</v>
      </c>
      <c r="K12" s="4">
        <v>0</v>
      </c>
      <c r="L12" s="4">
        <v>0</v>
      </c>
      <c r="M12" s="4">
        <v>0</v>
      </c>
      <c r="O12" t="s">
        <v>71</v>
      </c>
      <c r="P12" t="s">
        <v>278</v>
      </c>
      <c r="Q12" t="s">
        <v>279</v>
      </c>
      <c r="R12" t="s">
        <v>280</v>
      </c>
      <c r="S12" t="s">
        <v>281</v>
      </c>
      <c r="T12" t="s">
        <v>232</v>
      </c>
      <c r="U12" t="s">
        <v>282</v>
      </c>
      <c r="V12" t="s">
        <v>222</v>
      </c>
      <c r="W12" t="s">
        <v>223</v>
      </c>
      <c r="X12" t="s">
        <v>224</v>
      </c>
      <c r="Y12" t="s">
        <v>225</v>
      </c>
      <c r="Z12" t="s">
        <v>226</v>
      </c>
      <c r="AA12" t="s">
        <v>227</v>
      </c>
      <c r="AB12" t="s">
        <v>228</v>
      </c>
      <c r="AD12" t="s">
        <v>283</v>
      </c>
    </row>
    <row r="13" spans="1:30">
      <c r="A13">
        <v>25000</v>
      </c>
      <c r="B13" s="4">
        <v>370</v>
      </c>
      <c r="C13" s="4">
        <v>2235</v>
      </c>
      <c r="D13" s="4">
        <v>2097</v>
      </c>
      <c r="E13" s="4">
        <v>432</v>
      </c>
      <c r="F13" s="4">
        <v>1858</v>
      </c>
      <c r="G13" s="4">
        <v>0</v>
      </c>
      <c r="H13" s="4">
        <v>0</v>
      </c>
      <c r="I13" s="4">
        <v>0</v>
      </c>
      <c r="J13" s="4">
        <v>0</v>
      </c>
      <c r="K13" s="4">
        <v>0</v>
      </c>
      <c r="L13" s="4">
        <v>0</v>
      </c>
      <c r="M13" s="4">
        <v>0</v>
      </c>
      <c r="O13" t="s">
        <v>71</v>
      </c>
      <c r="P13" t="s">
        <v>284</v>
      </c>
      <c r="Q13" t="s">
        <v>285</v>
      </c>
      <c r="R13" t="s">
        <v>286</v>
      </c>
      <c r="S13" t="s">
        <v>287</v>
      </c>
      <c r="T13" t="s">
        <v>288</v>
      </c>
      <c r="U13" t="s">
        <v>289</v>
      </c>
      <c r="V13" t="s">
        <v>222</v>
      </c>
      <c r="W13" t="s">
        <v>223</v>
      </c>
      <c r="X13" t="s">
        <v>224</v>
      </c>
      <c r="Y13" t="s">
        <v>225</v>
      </c>
      <c r="Z13" t="s">
        <v>226</v>
      </c>
      <c r="AA13" t="s">
        <v>227</v>
      </c>
      <c r="AB13" t="s">
        <v>228</v>
      </c>
      <c r="AD13" t="s">
        <v>290</v>
      </c>
    </row>
    <row r="14" spans="1:30">
      <c r="A14">
        <v>23000</v>
      </c>
      <c r="B14" s="4">
        <v>359</v>
      </c>
      <c r="C14" s="4">
        <v>2288</v>
      </c>
      <c r="D14" s="4">
        <v>2289</v>
      </c>
      <c r="E14" s="4">
        <v>426</v>
      </c>
      <c r="F14" s="4">
        <v>2000</v>
      </c>
      <c r="G14" s="4">
        <v>0</v>
      </c>
      <c r="H14" s="4">
        <v>0</v>
      </c>
      <c r="I14" s="4">
        <v>0</v>
      </c>
      <c r="J14" s="4">
        <v>0</v>
      </c>
      <c r="K14" s="4">
        <v>0</v>
      </c>
      <c r="L14" s="4">
        <v>0</v>
      </c>
      <c r="M14" s="4">
        <v>0</v>
      </c>
      <c r="O14" t="s">
        <v>71</v>
      </c>
      <c r="P14" t="s">
        <v>291</v>
      </c>
      <c r="Q14" t="s">
        <v>292</v>
      </c>
      <c r="R14" t="s">
        <v>293</v>
      </c>
      <c r="S14" t="s">
        <v>294</v>
      </c>
      <c r="T14" t="s">
        <v>295</v>
      </c>
      <c r="U14" t="s">
        <v>296</v>
      </c>
      <c r="V14" t="s">
        <v>222</v>
      </c>
      <c r="W14" t="s">
        <v>223</v>
      </c>
      <c r="X14" t="s">
        <v>224</v>
      </c>
      <c r="Y14" t="s">
        <v>225</v>
      </c>
      <c r="Z14" t="s">
        <v>226</v>
      </c>
      <c r="AA14" t="s">
        <v>227</v>
      </c>
      <c r="AB14" t="s">
        <v>228</v>
      </c>
      <c r="AD14" t="s">
        <v>297</v>
      </c>
    </row>
    <row r="15" spans="1:30">
      <c r="A15">
        <v>21000</v>
      </c>
      <c r="B15" s="4">
        <v>348</v>
      </c>
      <c r="C15" s="4">
        <v>2344</v>
      </c>
      <c r="D15" s="4">
        <v>2471</v>
      </c>
      <c r="E15" s="4">
        <v>418</v>
      </c>
      <c r="F15" s="4">
        <v>2151</v>
      </c>
      <c r="G15" s="4">
        <v>0</v>
      </c>
      <c r="H15" s="4">
        <v>0</v>
      </c>
      <c r="I15" s="4">
        <v>0</v>
      </c>
      <c r="J15" s="4">
        <v>0</v>
      </c>
      <c r="K15" s="4">
        <v>0</v>
      </c>
      <c r="L15" s="4">
        <v>0</v>
      </c>
      <c r="M15" s="4">
        <v>0</v>
      </c>
      <c r="O15" t="s">
        <v>71</v>
      </c>
      <c r="P15" t="s">
        <v>298</v>
      </c>
      <c r="Q15" t="s">
        <v>299</v>
      </c>
      <c r="R15" t="s">
        <v>300</v>
      </c>
      <c r="S15" t="s">
        <v>301</v>
      </c>
      <c r="T15" t="s">
        <v>302</v>
      </c>
      <c r="U15" t="s">
        <v>303</v>
      </c>
      <c r="V15" t="s">
        <v>222</v>
      </c>
      <c r="W15" t="s">
        <v>223</v>
      </c>
      <c r="X15" t="s">
        <v>224</v>
      </c>
      <c r="Y15" t="s">
        <v>225</v>
      </c>
      <c r="Z15" t="s">
        <v>226</v>
      </c>
      <c r="AA15" t="s">
        <v>227</v>
      </c>
      <c r="AB15" t="s">
        <v>228</v>
      </c>
      <c r="AD15" t="s">
        <v>304</v>
      </c>
    </row>
    <row r="16" spans="1:30">
      <c r="A16">
        <v>19000</v>
      </c>
      <c r="B16" s="4">
        <v>337</v>
      </c>
      <c r="C16" s="4">
        <v>2402</v>
      </c>
      <c r="D16" s="4">
        <v>2643</v>
      </c>
      <c r="E16" s="4">
        <v>409</v>
      </c>
      <c r="F16" s="4">
        <v>2310</v>
      </c>
      <c r="G16" s="4">
        <v>0</v>
      </c>
      <c r="H16" s="4">
        <v>0</v>
      </c>
      <c r="I16" s="4">
        <v>0</v>
      </c>
      <c r="J16" s="4">
        <v>0</v>
      </c>
      <c r="K16" s="4">
        <v>0</v>
      </c>
      <c r="L16" s="4">
        <v>0</v>
      </c>
      <c r="M16" s="4">
        <v>0</v>
      </c>
      <c r="O16" t="s">
        <v>71</v>
      </c>
      <c r="P16" t="s">
        <v>305</v>
      </c>
      <c r="Q16" t="s">
        <v>306</v>
      </c>
      <c r="R16" t="s">
        <v>307</v>
      </c>
      <c r="S16" t="s">
        <v>308</v>
      </c>
      <c r="T16" t="s">
        <v>309</v>
      </c>
      <c r="U16" t="s">
        <v>310</v>
      </c>
      <c r="V16" t="s">
        <v>222</v>
      </c>
      <c r="W16" t="s">
        <v>223</v>
      </c>
      <c r="X16" t="s">
        <v>224</v>
      </c>
      <c r="Y16" t="s">
        <v>225</v>
      </c>
      <c r="Z16" t="s">
        <v>226</v>
      </c>
      <c r="AA16" t="s">
        <v>227</v>
      </c>
      <c r="AB16" t="s">
        <v>228</v>
      </c>
      <c r="AD16" t="s">
        <v>311</v>
      </c>
    </row>
    <row r="17" spans="1:30">
      <c r="A17">
        <v>17000</v>
      </c>
      <c r="B17" s="4">
        <v>327</v>
      </c>
      <c r="C17" s="4">
        <v>2461</v>
      </c>
      <c r="D17" s="4">
        <v>2807</v>
      </c>
      <c r="E17" s="4">
        <v>398</v>
      </c>
      <c r="F17" s="4">
        <v>2477</v>
      </c>
      <c r="G17" s="4">
        <v>0</v>
      </c>
      <c r="H17" s="4">
        <v>0</v>
      </c>
      <c r="I17" s="4">
        <v>0</v>
      </c>
      <c r="J17" s="4">
        <v>0</v>
      </c>
      <c r="K17" s="4">
        <v>0</v>
      </c>
      <c r="L17" s="4">
        <v>0</v>
      </c>
      <c r="M17" s="4">
        <v>0</v>
      </c>
      <c r="O17" t="s">
        <v>71</v>
      </c>
      <c r="P17" t="s">
        <v>312</v>
      </c>
      <c r="Q17" t="s">
        <v>313</v>
      </c>
      <c r="R17" t="s">
        <v>314</v>
      </c>
      <c r="S17" t="s">
        <v>315</v>
      </c>
      <c r="T17" t="s">
        <v>316</v>
      </c>
      <c r="U17" t="s">
        <v>317</v>
      </c>
      <c r="V17" t="s">
        <v>222</v>
      </c>
      <c r="W17" t="s">
        <v>223</v>
      </c>
      <c r="X17" t="s">
        <v>224</v>
      </c>
      <c r="Y17" t="s">
        <v>225</v>
      </c>
      <c r="Z17" t="s">
        <v>226</v>
      </c>
      <c r="AA17" t="s">
        <v>227</v>
      </c>
      <c r="AB17" t="s">
        <v>228</v>
      </c>
      <c r="AD17" t="s">
        <v>318</v>
      </c>
    </row>
    <row r="18" spans="1:30">
      <c r="A18">
        <v>15000</v>
      </c>
      <c r="B18" s="4">
        <v>317</v>
      </c>
      <c r="C18" s="4">
        <v>2522</v>
      </c>
      <c r="D18" s="4">
        <v>2960</v>
      </c>
      <c r="E18" s="4">
        <v>385</v>
      </c>
      <c r="F18" s="4">
        <v>2650</v>
      </c>
      <c r="G18" s="4">
        <v>0</v>
      </c>
      <c r="H18" s="4">
        <v>0</v>
      </c>
      <c r="I18" s="4">
        <v>0</v>
      </c>
      <c r="J18" s="4">
        <v>0</v>
      </c>
      <c r="K18" s="4">
        <v>0</v>
      </c>
      <c r="L18" s="4">
        <v>0</v>
      </c>
      <c r="M18" s="4">
        <v>0</v>
      </c>
      <c r="O18" t="s">
        <v>71</v>
      </c>
      <c r="P18" t="s">
        <v>319</v>
      </c>
      <c r="Q18" t="s">
        <v>320</v>
      </c>
      <c r="R18" t="s">
        <v>321</v>
      </c>
      <c r="S18" t="s">
        <v>322</v>
      </c>
      <c r="T18" t="s">
        <v>323</v>
      </c>
      <c r="U18" t="s">
        <v>324</v>
      </c>
      <c r="V18" t="s">
        <v>222</v>
      </c>
      <c r="W18" t="s">
        <v>223</v>
      </c>
      <c r="X18" t="s">
        <v>224</v>
      </c>
      <c r="Y18" t="s">
        <v>225</v>
      </c>
      <c r="Z18" t="s">
        <v>226</v>
      </c>
      <c r="AA18" t="s">
        <v>227</v>
      </c>
      <c r="AB18" t="s">
        <v>228</v>
      </c>
      <c r="AD18" t="s">
        <v>325</v>
      </c>
    </row>
    <row r="19" spans="1:30">
      <c r="A19">
        <v>13000</v>
      </c>
      <c r="B19" s="4">
        <v>307</v>
      </c>
      <c r="C19" s="4">
        <v>2585</v>
      </c>
      <c r="D19" s="4">
        <v>3104</v>
      </c>
      <c r="E19" s="4">
        <v>371</v>
      </c>
      <c r="F19" s="4">
        <v>2827</v>
      </c>
      <c r="G19" s="4">
        <v>0</v>
      </c>
      <c r="H19" s="4">
        <v>0</v>
      </c>
      <c r="I19" s="4">
        <v>0</v>
      </c>
      <c r="J19" s="4">
        <v>0</v>
      </c>
      <c r="K19" s="4">
        <v>0</v>
      </c>
      <c r="L19" s="4">
        <v>0</v>
      </c>
      <c r="M19" s="4">
        <v>0</v>
      </c>
      <c r="O19" t="s">
        <v>71</v>
      </c>
      <c r="P19" t="s">
        <v>326</v>
      </c>
      <c r="Q19" t="s">
        <v>327</v>
      </c>
      <c r="R19" t="s">
        <v>328</v>
      </c>
      <c r="S19" t="s">
        <v>329</v>
      </c>
      <c r="T19" t="s">
        <v>330</v>
      </c>
      <c r="U19" t="s">
        <v>331</v>
      </c>
      <c r="V19" t="s">
        <v>222</v>
      </c>
      <c r="W19" t="s">
        <v>223</v>
      </c>
      <c r="X19" t="s">
        <v>224</v>
      </c>
      <c r="Y19" t="s">
        <v>225</v>
      </c>
      <c r="Z19" t="s">
        <v>226</v>
      </c>
      <c r="AA19" t="s">
        <v>227</v>
      </c>
      <c r="AB19" t="s">
        <v>228</v>
      </c>
      <c r="AD19" t="s">
        <v>332</v>
      </c>
    </row>
    <row r="20" spans="1:30">
      <c r="A20">
        <v>11000</v>
      </c>
      <c r="B20" s="4">
        <v>298</v>
      </c>
      <c r="C20" s="4">
        <v>2650</v>
      </c>
      <c r="D20" s="4">
        <v>3239</v>
      </c>
      <c r="E20" s="4">
        <v>355</v>
      </c>
      <c r="F20" s="4">
        <v>3008</v>
      </c>
      <c r="G20" s="4">
        <v>0</v>
      </c>
      <c r="H20" s="4">
        <v>0</v>
      </c>
      <c r="I20" s="4">
        <v>0</v>
      </c>
      <c r="J20" s="4">
        <v>0</v>
      </c>
      <c r="K20" s="4">
        <v>0</v>
      </c>
      <c r="L20" s="4">
        <v>0</v>
      </c>
      <c r="M20" s="4">
        <v>0</v>
      </c>
      <c r="O20" t="s">
        <v>71</v>
      </c>
      <c r="P20" t="s">
        <v>333</v>
      </c>
      <c r="Q20" t="s">
        <v>334</v>
      </c>
      <c r="R20" t="s">
        <v>335</v>
      </c>
      <c r="S20" t="s">
        <v>336</v>
      </c>
      <c r="T20" t="s">
        <v>337</v>
      </c>
      <c r="U20" t="s">
        <v>338</v>
      </c>
      <c r="V20" t="s">
        <v>222</v>
      </c>
      <c r="W20" t="s">
        <v>223</v>
      </c>
      <c r="X20" t="s">
        <v>224</v>
      </c>
      <c r="Y20" t="s">
        <v>225</v>
      </c>
      <c r="Z20" t="s">
        <v>226</v>
      </c>
      <c r="AA20" t="s">
        <v>227</v>
      </c>
      <c r="AB20" t="s">
        <v>228</v>
      </c>
      <c r="AD20" t="s">
        <v>339</v>
      </c>
    </row>
    <row r="21" spans="1:30">
      <c r="A21">
        <v>9000</v>
      </c>
      <c r="B21" s="4">
        <v>289</v>
      </c>
      <c r="C21" s="4">
        <v>2717</v>
      </c>
      <c r="D21" s="4">
        <v>3364</v>
      </c>
      <c r="E21" s="4">
        <v>337</v>
      </c>
      <c r="F21" s="4">
        <v>3190</v>
      </c>
      <c r="G21" s="4">
        <v>0</v>
      </c>
      <c r="H21" s="4">
        <v>0</v>
      </c>
      <c r="I21" s="4">
        <v>0</v>
      </c>
      <c r="J21" s="4">
        <v>0</v>
      </c>
      <c r="K21" s="4">
        <v>0</v>
      </c>
      <c r="L21" s="4">
        <v>0</v>
      </c>
      <c r="M21" s="4">
        <v>0</v>
      </c>
      <c r="N21" s="5"/>
      <c r="O21" t="s">
        <v>71</v>
      </c>
      <c r="P21" t="s">
        <v>340</v>
      </c>
      <c r="Q21" t="s">
        <v>341</v>
      </c>
      <c r="R21" t="s">
        <v>342</v>
      </c>
      <c r="S21" t="s">
        <v>343</v>
      </c>
      <c r="T21" t="s">
        <v>344</v>
      </c>
      <c r="U21" t="s">
        <v>345</v>
      </c>
      <c r="V21" t="s">
        <v>222</v>
      </c>
      <c r="W21" t="s">
        <v>223</v>
      </c>
      <c r="X21" t="s">
        <v>224</v>
      </c>
      <c r="Y21" t="s">
        <v>225</v>
      </c>
      <c r="Z21" t="s">
        <v>226</v>
      </c>
      <c r="AA21" t="s">
        <v>227</v>
      </c>
      <c r="AB21" t="s">
        <v>228</v>
      </c>
      <c r="AD21" t="s">
        <v>346</v>
      </c>
    </row>
    <row r="22" spans="1:30">
      <c r="A22">
        <v>7000</v>
      </c>
      <c r="B22" s="4">
        <v>281</v>
      </c>
      <c r="C22" s="4">
        <v>2786</v>
      </c>
      <c r="D22" s="4">
        <v>3479</v>
      </c>
      <c r="E22" s="4">
        <v>316</v>
      </c>
      <c r="F22" s="4">
        <v>3373</v>
      </c>
      <c r="G22" s="4">
        <v>0</v>
      </c>
      <c r="H22" s="4">
        <v>0</v>
      </c>
      <c r="I22" s="4">
        <v>0</v>
      </c>
      <c r="J22" s="4">
        <v>0</v>
      </c>
      <c r="K22" s="4">
        <v>0</v>
      </c>
      <c r="L22" s="4">
        <v>0</v>
      </c>
      <c r="M22" s="4">
        <v>0</v>
      </c>
      <c r="N22" s="5"/>
      <c r="O22" t="s">
        <v>71</v>
      </c>
      <c r="P22" t="s">
        <v>347</v>
      </c>
      <c r="Q22" t="s">
        <v>348</v>
      </c>
      <c r="R22" t="s">
        <v>349</v>
      </c>
      <c r="S22" t="s">
        <v>350</v>
      </c>
      <c r="T22" t="s">
        <v>351</v>
      </c>
      <c r="U22" t="s">
        <v>352</v>
      </c>
      <c r="V22" t="s">
        <v>222</v>
      </c>
      <c r="W22" t="s">
        <v>223</v>
      </c>
      <c r="X22" t="s">
        <v>224</v>
      </c>
      <c r="Y22" t="s">
        <v>225</v>
      </c>
      <c r="Z22" t="s">
        <v>226</v>
      </c>
      <c r="AA22" t="s">
        <v>227</v>
      </c>
      <c r="AB22" t="s">
        <v>228</v>
      </c>
      <c r="AD22" t="s">
        <v>353</v>
      </c>
    </row>
    <row r="23" spans="1:30">
      <c r="A23">
        <v>5000</v>
      </c>
      <c r="B23" s="4">
        <v>273</v>
      </c>
      <c r="C23" s="4">
        <v>2856</v>
      </c>
      <c r="D23" s="4">
        <v>3585</v>
      </c>
      <c r="E23" s="4">
        <v>294</v>
      </c>
      <c r="F23" s="4">
        <v>3556</v>
      </c>
      <c r="G23" s="4">
        <v>0</v>
      </c>
      <c r="H23" s="4">
        <v>0</v>
      </c>
      <c r="I23" s="4">
        <v>0</v>
      </c>
      <c r="J23" s="4">
        <v>0</v>
      </c>
      <c r="K23" s="4">
        <v>0</v>
      </c>
      <c r="L23" s="4">
        <v>0</v>
      </c>
      <c r="M23" s="4">
        <v>0</v>
      </c>
      <c r="N23" s="3"/>
      <c r="O23" t="s">
        <v>71</v>
      </c>
      <c r="P23" t="s">
        <v>354</v>
      </c>
      <c r="Q23" t="s">
        <v>355</v>
      </c>
      <c r="R23" t="s">
        <v>356</v>
      </c>
      <c r="S23" t="s">
        <v>357</v>
      </c>
      <c r="T23" t="s">
        <v>358</v>
      </c>
      <c r="U23" t="s">
        <v>359</v>
      </c>
      <c r="V23" t="s">
        <v>222</v>
      </c>
      <c r="W23" t="s">
        <v>223</v>
      </c>
      <c r="X23" t="s">
        <v>224</v>
      </c>
      <c r="Y23" t="s">
        <v>225</v>
      </c>
      <c r="Z23" t="s">
        <v>226</v>
      </c>
      <c r="AA23" t="s">
        <v>227</v>
      </c>
      <c r="AB23" t="s">
        <v>228</v>
      </c>
      <c r="AD23" t="s">
        <v>360</v>
      </c>
    </row>
    <row r="24" spans="1:30">
      <c r="A24">
        <v>3000</v>
      </c>
      <c r="B24" s="4">
        <v>265</v>
      </c>
      <c r="C24" s="4">
        <v>2929</v>
      </c>
      <c r="D24" s="4">
        <v>3681</v>
      </c>
      <c r="E24" s="4">
        <v>269</v>
      </c>
      <c r="F24" s="4">
        <v>3736</v>
      </c>
      <c r="G24" s="4">
        <v>0</v>
      </c>
      <c r="H24" s="4">
        <v>0</v>
      </c>
      <c r="I24" s="4">
        <v>0</v>
      </c>
      <c r="J24" s="4">
        <v>0</v>
      </c>
      <c r="K24" s="4">
        <v>0</v>
      </c>
      <c r="L24" s="4">
        <v>0</v>
      </c>
      <c r="M24" s="4">
        <v>0</v>
      </c>
      <c r="N24" s="5"/>
      <c r="O24" t="s">
        <v>71</v>
      </c>
      <c r="P24" t="s">
        <v>361</v>
      </c>
      <c r="Q24" t="s">
        <v>362</v>
      </c>
      <c r="R24" t="s">
        <v>363</v>
      </c>
      <c r="S24" t="s">
        <v>364</v>
      </c>
      <c r="T24" t="s">
        <v>365</v>
      </c>
      <c r="U24" t="s">
        <v>366</v>
      </c>
      <c r="V24" t="s">
        <v>222</v>
      </c>
      <c r="W24" t="s">
        <v>223</v>
      </c>
      <c r="X24" t="s">
        <v>224</v>
      </c>
      <c r="Y24" t="s">
        <v>225</v>
      </c>
      <c r="Z24" t="s">
        <v>226</v>
      </c>
      <c r="AA24" t="s">
        <v>227</v>
      </c>
      <c r="AB24" t="s">
        <v>228</v>
      </c>
      <c r="AD24" t="s">
        <v>367</v>
      </c>
    </row>
    <row r="25" spans="1:30">
      <c r="A25">
        <v>1000</v>
      </c>
      <c r="B25" s="4">
        <v>257</v>
      </c>
      <c r="C25" s="4">
        <v>3003</v>
      </c>
      <c r="D25" s="4">
        <v>3768</v>
      </c>
      <c r="E25" s="4">
        <v>242</v>
      </c>
      <c r="F25" s="4">
        <v>3913</v>
      </c>
      <c r="G25" s="4">
        <v>0</v>
      </c>
      <c r="H25" s="4">
        <v>0</v>
      </c>
      <c r="I25" s="4">
        <v>0</v>
      </c>
      <c r="J25" s="4">
        <v>0</v>
      </c>
      <c r="K25" s="4">
        <v>0</v>
      </c>
      <c r="L25" s="4">
        <v>0</v>
      </c>
      <c r="M25" s="4">
        <v>0</v>
      </c>
      <c r="N25" s="3"/>
      <c r="O25" t="s">
        <v>71</v>
      </c>
      <c r="P25" t="s">
        <v>368</v>
      </c>
      <c r="Q25" t="s">
        <v>369</v>
      </c>
      <c r="R25" t="s">
        <v>370</v>
      </c>
      <c r="S25" t="s">
        <v>371</v>
      </c>
      <c r="T25" t="s">
        <v>372</v>
      </c>
      <c r="U25" t="s">
        <v>373</v>
      </c>
      <c r="V25" t="s">
        <v>222</v>
      </c>
      <c r="W25" t="s">
        <v>223</v>
      </c>
      <c r="X25" t="s">
        <v>224</v>
      </c>
      <c r="Y25" t="s">
        <v>225</v>
      </c>
      <c r="Z25" t="s">
        <v>226</v>
      </c>
      <c r="AA25" t="s">
        <v>227</v>
      </c>
      <c r="AB25" t="s">
        <v>374</v>
      </c>
      <c r="AD25" t="s">
        <v>375</v>
      </c>
    </row>
    <row r="26" spans="1:30">
      <c r="N26" s="3"/>
    </row>
    <row r="27" spans="1:30">
      <c r="A27" t="s">
        <v>183</v>
      </c>
      <c r="B27" t="s">
        <v>376</v>
      </c>
    </row>
    <row r="28" spans="1:30">
      <c r="A28" t="s">
        <v>177</v>
      </c>
      <c r="B28" t="s">
        <v>42</v>
      </c>
      <c r="C28" t="s">
        <v>43</v>
      </c>
      <c r="D28" t="s">
        <v>48</v>
      </c>
      <c r="E28" t="s">
        <v>51</v>
      </c>
      <c r="F28" t="s">
        <v>59</v>
      </c>
      <c r="G28" t="s">
        <v>178</v>
      </c>
      <c r="H28" t="s">
        <v>179</v>
      </c>
      <c r="I28" t="s">
        <v>52</v>
      </c>
      <c r="J28" t="s">
        <v>44</v>
      </c>
      <c r="K28" t="s">
        <v>180</v>
      </c>
      <c r="L28" t="s">
        <v>181</v>
      </c>
      <c r="M28" t="s">
        <v>62</v>
      </c>
    </row>
    <row r="29" spans="1:30">
      <c r="A29">
        <v>45000</v>
      </c>
      <c r="B29" s="4">
        <v>352</v>
      </c>
      <c r="C29" s="4">
        <v>1800</v>
      </c>
      <c r="D29" s="4">
        <v>1</v>
      </c>
      <c r="E29" s="4">
        <v>404</v>
      </c>
      <c r="F29" s="4">
        <v>1285</v>
      </c>
      <c r="G29" s="4">
        <v>0</v>
      </c>
      <c r="H29" s="4">
        <v>0</v>
      </c>
      <c r="I29" s="4">
        <v>0</v>
      </c>
      <c r="J29" s="4">
        <v>0</v>
      </c>
      <c r="K29" s="4">
        <v>0</v>
      </c>
      <c r="L29" s="4">
        <v>0</v>
      </c>
      <c r="M29" s="4">
        <v>0</v>
      </c>
      <c r="O29" t="s">
        <v>182</v>
      </c>
      <c r="P29" t="s">
        <v>216</v>
      </c>
      <c r="Q29" t="s">
        <v>377</v>
      </c>
      <c r="R29" t="s">
        <v>218</v>
      </c>
      <c r="S29" t="s">
        <v>219</v>
      </c>
      <c r="T29" t="s">
        <v>378</v>
      </c>
      <c r="U29" t="s">
        <v>221</v>
      </c>
      <c r="V29" t="s">
        <v>222</v>
      </c>
      <c r="W29" t="s">
        <v>223</v>
      </c>
      <c r="X29" t="s">
        <v>224</v>
      </c>
      <c r="Y29" t="s">
        <v>225</v>
      </c>
      <c r="Z29" t="s">
        <v>226</v>
      </c>
      <c r="AA29" t="s">
        <v>227</v>
      </c>
      <c r="AB29" t="s">
        <v>228</v>
      </c>
      <c r="AD29" t="s">
        <v>379</v>
      </c>
    </row>
    <row r="30" spans="1:30">
      <c r="A30">
        <v>43000</v>
      </c>
      <c r="B30" s="4">
        <v>352</v>
      </c>
      <c r="C30" s="4">
        <v>1835</v>
      </c>
      <c r="D30" s="4">
        <v>1</v>
      </c>
      <c r="E30" s="4">
        <v>407</v>
      </c>
      <c r="F30" s="4">
        <v>1254</v>
      </c>
      <c r="G30" s="4">
        <v>0</v>
      </c>
      <c r="H30" s="4">
        <v>0</v>
      </c>
      <c r="I30" s="4">
        <v>0</v>
      </c>
      <c r="J30" s="4">
        <v>0</v>
      </c>
      <c r="K30" s="4">
        <v>0</v>
      </c>
      <c r="L30" s="4">
        <v>0</v>
      </c>
      <c r="M30" s="4">
        <v>0</v>
      </c>
      <c r="O30" t="s">
        <v>71</v>
      </c>
      <c r="P30" t="s">
        <v>230</v>
      </c>
      <c r="Q30" t="s">
        <v>377</v>
      </c>
      <c r="R30" t="s">
        <v>231</v>
      </c>
      <c r="S30" t="s">
        <v>219</v>
      </c>
      <c r="T30" t="s">
        <v>380</v>
      </c>
      <c r="U30" t="s">
        <v>233</v>
      </c>
      <c r="V30" t="s">
        <v>222</v>
      </c>
      <c r="W30" t="s">
        <v>223</v>
      </c>
      <c r="X30" t="s">
        <v>224</v>
      </c>
      <c r="Y30" t="s">
        <v>225</v>
      </c>
      <c r="Z30" t="s">
        <v>226</v>
      </c>
      <c r="AA30" t="s">
        <v>227</v>
      </c>
      <c r="AB30" t="s">
        <v>228</v>
      </c>
      <c r="AD30" t="s">
        <v>381</v>
      </c>
    </row>
    <row r="31" spans="1:30">
      <c r="A31">
        <v>41000</v>
      </c>
      <c r="B31" s="4">
        <v>352</v>
      </c>
      <c r="C31" s="4">
        <v>1872</v>
      </c>
      <c r="D31" s="4">
        <v>1</v>
      </c>
      <c r="E31" s="4">
        <v>410</v>
      </c>
      <c r="F31" s="4">
        <v>1246</v>
      </c>
      <c r="G31" s="4">
        <v>0</v>
      </c>
      <c r="H31" s="4">
        <v>0</v>
      </c>
      <c r="I31" s="4">
        <v>0</v>
      </c>
      <c r="J31" s="4">
        <v>0</v>
      </c>
      <c r="K31" s="4">
        <v>0</v>
      </c>
      <c r="L31" s="4">
        <v>0</v>
      </c>
      <c r="M31" s="4">
        <v>0</v>
      </c>
      <c r="O31" t="s">
        <v>71</v>
      </c>
      <c r="P31" t="s">
        <v>235</v>
      </c>
      <c r="Q31" t="s">
        <v>377</v>
      </c>
      <c r="R31" t="s">
        <v>236</v>
      </c>
      <c r="S31" t="s">
        <v>219</v>
      </c>
      <c r="T31" t="s">
        <v>382</v>
      </c>
      <c r="U31" t="s">
        <v>239</v>
      </c>
      <c r="V31" t="s">
        <v>222</v>
      </c>
      <c r="W31" t="s">
        <v>223</v>
      </c>
      <c r="X31" t="s">
        <v>224</v>
      </c>
      <c r="Y31" t="s">
        <v>225</v>
      </c>
      <c r="Z31" t="s">
        <v>226</v>
      </c>
      <c r="AA31" t="s">
        <v>227</v>
      </c>
      <c r="AB31" t="s">
        <v>228</v>
      </c>
      <c r="AD31" t="s">
        <v>383</v>
      </c>
    </row>
    <row r="32" spans="1:30">
      <c r="A32">
        <v>39000</v>
      </c>
      <c r="B32" s="4">
        <v>352</v>
      </c>
      <c r="C32" s="4">
        <v>1911</v>
      </c>
      <c r="D32" s="4">
        <v>419</v>
      </c>
      <c r="E32" s="4">
        <v>412</v>
      </c>
      <c r="F32" s="4">
        <v>1260</v>
      </c>
      <c r="G32" s="4">
        <v>0</v>
      </c>
      <c r="H32" s="4">
        <v>0</v>
      </c>
      <c r="I32" s="4">
        <v>0</v>
      </c>
      <c r="J32" s="4">
        <v>0</v>
      </c>
      <c r="K32" s="4">
        <v>0</v>
      </c>
      <c r="L32" s="4">
        <v>0</v>
      </c>
      <c r="M32" s="4">
        <v>0</v>
      </c>
      <c r="O32" t="s">
        <v>71</v>
      </c>
      <c r="P32" t="s">
        <v>241</v>
      </c>
      <c r="Q32" t="s">
        <v>377</v>
      </c>
      <c r="R32" t="s">
        <v>242</v>
      </c>
      <c r="S32" t="s">
        <v>384</v>
      </c>
      <c r="T32" t="s">
        <v>385</v>
      </c>
      <c r="U32" t="s">
        <v>245</v>
      </c>
      <c r="V32" t="s">
        <v>222</v>
      </c>
      <c r="W32" t="s">
        <v>223</v>
      </c>
      <c r="X32" t="s">
        <v>224</v>
      </c>
      <c r="Y32" t="s">
        <v>225</v>
      </c>
      <c r="Z32" t="s">
        <v>226</v>
      </c>
      <c r="AA32" t="s">
        <v>227</v>
      </c>
      <c r="AB32" t="s">
        <v>228</v>
      </c>
      <c r="AD32" t="s">
        <v>386</v>
      </c>
    </row>
    <row r="33" spans="1:30">
      <c r="A33">
        <v>37000</v>
      </c>
      <c r="B33" s="4">
        <v>352</v>
      </c>
      <c r="C33" s="4">
        <v>1952</v>
      </c>
      <c r="D33" s="4">
        <v>640</v>
      </c>
      <c r="E33" s="4">
        <v>414</v>
      </c>
      <c r="F33" s="4">
        <v>1294</v>
      </c>
      <c r="G33" s="4">
        <v>0</v>
      </c>
      <c r="H33" s="4">
        <v>0</v>
      </c>
      <c r="I33" s="4">
        <v>0</v>
      </c>
      <c r="J33" s="4">
        <v>0</v>
      </c>
      <c r="K33" s="4">
        <v>0</v>
      </c>
      <c r="L33" s="4">
        <v>0</v>
      </c>
      <c r="M33" s="4">
        <v>0</v>
      </c>
      <c r="O33" t="s">
        <v>71</v>
      </c>
      <c r="P33" t="s">
        <v>247</v>
      </c>
      <c r="Q33" t="s">
        <v>377</v>
      </c>
      <c r="R33" t="s">
        <v>248</v>
      </c>
      <c r="S33" t="s">
        <v>387</v>
      </c>
      <c r="T33" t="s">
        <v>388</v>
      </c>
      <c r="U33" t="s">
        <v>251</v>
      </c>
      <c r="V33" t="s">
        <v>222</v>
      </c>
      <c r="W33" t="s">
        <v>223</v>
      </c>
      <c r="X33" t="s">
        <v>224</v>
      </c>
      <c r="Y33" t="s">
        <v>225</v>
      </c>
      <c r="Z33" t="s">
        <v>226</v>
      </c>
      <c r="AA33" t="s">
        <v>227</v>
      </c>
      <c r="AB33" t="s">
        <v>228</v>
      </c>
      <c r="AD33" t="s">
        <v>389</v>
      </c>
    </row>
    <row r="34" spans="1:30">
      <c r="A34">
        <v>35000</v>
      </c>
      <c r="B34" s="4">
        <v>353</v>
      </c>
      <c r="C34" s="4">
        <v>1994</v>
      </c>
      <c r="D34" s="4">
        <v>854</v>
      </c>
      <c r="E34" s="4">
        <v>414</v>
      </c>
      <c r="F34" s="4">
        <v>1348</v>
      </c>
      <c r="G34" s="4">
        <v>0</v>
      </c>
      <c r="H34" s="4">
        <v>0</v>
      </c>
      <c r="I34" s="4">
        <v>0</v>
      </c>
      <c r="J34" s="4">
        <v>0</v>
      </c>
      <c r="K34" s="4">
        <v>0</v>
      </c>
      <c r="L34" s="4">
        <v>0</v>
      </c>
      <c r="M34" s="4">
        <v>0</v>
      </c>
      <c r="O34" t="s">
        <v>71</v>
      </c>
      <c r="P34" t="s">
        <v>253</v>
      </c>
      <c r="Q34" t="s">
        <v>390</v>
      </c>
      <c r="R34" t="s">
        <v>255</v>
      </c>
      <c r="S34" t="s">
        <v>391</v>
      </c>
      <c r="T34" t="s">
        <v>388</v>
      </c>
      <c r="U34" t="s">
        <v>257</v>
      </c>
      <c r="V34" t="s">
        <v>222</v>
      </c>
      <c r="W34" t="s">
        <v>223</v>
      </c>
      <c r="X34" t="s">
        <v>224</v>
      </c>
      <c r="Y34" t="s">
        <v>225</v>
      </c>
      <c r="Z34" t="s">
        <v>226</v>
      </c>
      <c r="AA34" t="s">
        <v>227</v>
      </c>
      <c r="AB34" t="s">
        <v>228</v>
      </c>
      <c r="AD34" t="s">
        <v>392</v>
      </c>
    </row>
    <row r="35" spans="1:30">
      <c r="A35">
        <v>33000</v>
      </c>
      <c r="B35" s="4">
        <v>359</v>
      </c>
      <c r="C35" s="4">
        <v>2038</v>
      </c>
      <c r="D35" s="4">
        <v>1068</v>
      </c>
      <c r="E35" s="4">
        <v>414</v>
      </c>
      <c r="F35" s="4">
        <v>1419</v>
      </c>
      <c r="G35" s="4">
        <v>0</v>
      </c>
      <c r="H35" s="4">
        <v>0</v>
      </c>
      <c r="I35" s="4">
        <v>0</v>
      </c>
      <c r="J35" s="4">
        <v>0</v>
      </c>
      <c r="K35" s="4">
        <v>0</v>
      </c>
      <c r="L35" s="4">
        <v>0</v>
      </c>
      <c r="M35" s="4">
        <v>0</v>
      </c>
      <c r="O35" t="s">
        <v>71</v>
      </c>
      <c r="P35" t="s">
        <v>259</v>
      </c>
      <c r="Q35" t="s">
        <v>292</v>
      </c>
      <c r="R35" t="s">
        <v>261</v>
      </c>
      <c r="S35" t="s">
        <v>393</v>
      </c>
      <c r="T35" t="s">
        <v>388</v>
      </c>
      <c r="U35" t="s">
        <v>263</v>
      </c>
      <c r="V35" t="s">
        <v>222</v>
      </c>
      <c r="W35" t="s">
        <v>223</v>
      </c>
      <c r="X35" t="s">
        <v>224</v>
      </c>
      <c r="Y35" t="s">
        <v>225</v>
      </c>
      <c r="Z35" t="s">
        <v>226</v>
      </c>
      <c r="AA35" t="s">
        <v>227</v>
      </c>
      <c r="AB35" t="s">
        <v>228</v>
      </c>
      <c r="AD35" t="s">
        <v>394</v>
      </c>
    </row>
    <row r="36" spans="1:30">
      <c r="A36">
        <v>31000</v>
      </c>
      <c r="B36" s="4">
        <v>362</v>
      </c>
      <c r="C36" s="4">
        <v>2085</v>
      </c>
      <c r="D36" s="4">
        <v>1299</v>
      </c>
      <c r="E36" s="4">
        <v>413</v>
      </c>
      <c r="F36" s="4">
        <v>1508</v>
      </c>
      <c r="G36" s="4">
        <v>0</v>
      </c>
      <c r="H36" s="4">
        <v>0</v>
      </c>
      <c r="I36" s="4">
        <v>0</v>
      </c>
      <c r="J36" s="4">
        <v>0</v>
      </c>
      <c r="K36" s="4">
        <v>0</v>
      </c>
      <c r="L36" s="4">
        <v>0</v>
      </c>
      <c r="M36" s="4">
        <v>0</v>
      </c>
      <c r="O36" t="s">
        <v>71</v>
      </c>
      <c r="P36" t="s">
        <v>265</v>
      </c>
      <c r="Q36" t="s">
        <v>395</v>
      </c>
      <c r="R36" t="s">
        <v>267</v>
      </c>
      <c r="S36" t="s">
        <v>396</v>
      </c>
      <c r="T36" t="s">
        <v>397</v>
      </c>
      <c r="U36" t="s">
        <v>270</v>
      </c>
      <c r="V36" t="s">
        <v>222</v>
      </c>
      <c r="W36" t="s">
        <v>223</v>
      </c>
      <c r="X36" t="s">
        <v>224</v>
      </c>
      <c r="Y36" t="s">
        <v>225</v>
      </c>
      <c r="Z36" t="s">
        <v>226</v>
      </c>
      <c r="AA36" t="s">
        <v>227</v>
      </c>
      <c r="AB36" t="s">
        <v>228</v>
      </c>
      <c r="AD36" t="s">
        <v>398</v>
      </c>
    </row>
    <row r="37" spans="1:30">
      <c r="A37">
        <v>29000</v>
      </c>
      <c r="B37" s="4">
        <v>365</v>
      </c>
      <c r="C37" s="4">
        <v>2133</v>
      </c>
      <c r="D37" s="4">
        <v>1558</v>
      </c>
      <c r="E37" s="4">
        <v>410</v>
      </c>
      <c r="F37" s="4">
        <v>1611</v>
      </c>
      <c r="G37" s="4">
        <v>0</v>
      </c>
      <c r="H37" s="4">
        <v>0</v>
      </c>
      <c r="I37" s="4">
        <v>0</v>
      </c>
      <c r="J37" s="4">
        <v>0</v>
      </c>
      <c r="K37" s="4">
        <v>0</v>
      </c>
      <c r="L37" s="4">
        <v>0</v>
      </c>
      <c r="M37" s="4">
        <v>0</v>
      </c>
      <c r="O37" t="s">
        <v>71</v>
      </c>
      <c r="P37" t="s">
        <v>272</v>
      </c>
      <c r="Q37" t="s">
        <v>399</v>
      </c>
      <c r="R37" t="s">
        <v>274</v>
      </c>
      <c r="S37" t="s">
        <v>400</v>
      </c>
      <c r="T37" t="s">
        <v>382</v>
      </c>
      <c r="U37" t="s">
        <v>276</v>
      </c>
      <c r="V37" t="s">
        <v>222</v>
      </c>
      <c r="W37" t="s">
        <v>223</v>
      </c>
      <c r="X37" t="s">
        <v>224</v>
      </c>
      <c r="Y37" t="s">
        <v>225</v>
      </c>
      <c r="Z37" t="s">
        <v>226</v>
      </c>
      <c r="AA37" t="s">
        <v>227</v>
      </c>
      <c r="AB37" t="s">
        <v>228</v>
      </c>
      <c r="AD37" t="s">
        <v>401</v>
      </c>
    </row>
    <row r="38" spans="1:30">
      <c r="A38">
        <v>27000</v>
      </c>
      <c r="B38" s="4">
        <v>354</v>
      </c>
      <c r="C38" s="4">
        <v>2183</v>
      </c>
      <c r="D38" s="4">
        <v>1752</v>
      </c>
      <c r="E38" s="4">
        <v>407</v>
      </c>
      <c r="F38" s="4">
        <v>1728</v>
      </c>
      <c r="G38" s="4">
        <v>0</v>
      </c>
      <c r="H38" s="4">
        <v>0</v>
      </c>
      <c r="I38" s="4">
        <v>0</v>
      </c>
      <c r="J38" s="4">
        <v>0</v>
      </c>
      <c r="K38" s="4">
        <v>0</v>
      </c>
      <c r="L38" s="4">
        <v>0</v>
      </c>
      <c r="M38" s="4">
        <v>0</v>
      </c>
      <c r="O38" t="s">
        <v>71</v>
      </c>
      <c r="P38" t="s">
        <v>278</v>
      </c>
      <c r="Q38" t="s">
        <v>402</v>
      </c>
      <c r="R38" t="s">
        <v>280</v>
      </c>
      <c r="S38" t="s">
        <v>403</v>
      </c>
      <c r="T38" t="s">
        <v>380</v>
      </c>
      <c r="U38" t="s">
        <v>282</v>
      </c>
      <c r="V38" t="s">
        <v>222</v>
      </c>
      <c r="W38" t="s">
        <v>223</v>
      </c>
      <c r="X38" t="s">
        <v>224</v>
      </c>
      <c r="Y38" t="s">
        <v>225</v>
      </c>
      <c r="Z38" t="s">
        <v>226</v>
      </c>
      <c r="AA38" t="s">
        <v>227</v>
      </c>
      <c r="AB38" t="s">
        <v>228</v>
      </c>
      <c r="AD38" t="s">
        <v>404</v>
      </c>
    </row>
    <row r="39" spans="1:30">
      <c r="A39">
        <v>25000</v>
      </c>
      <c r="B39" s="4">
        <v>342</v>
      </c>
      <c r="C39" s="4">
        <v>2235</v>
      </c>
      <c r="D39" s="4">
        <v>1941</v>
      </c>
      <c r="E39" s="4">
        <v>402</v>
      </c>
      <c r="F39" s="4">
        <v>1858</v>
      </c>
      <c r="G39" s="4">
        <v>0</v>
      </c>
      <c r="H39" s="4">
        <v>0</v>
      </c>
      <c r="I39" s="4">
        <v>0</v>
      </c>
      <c r="J39" s="4">
        <v>0</v>
      </c>
      <c r="K39" s="4">
        <v>0</v>
      </c>
      <c r="L39" s="4">
        <v>0</v>
      </c>
      <c r="M39" s="4">
        <v>0</v>
      </c>
      <c r="O39" t="s">
        <v>71</v>
      </c>
      <c r="P39" t="s">
        <v>284</v>
      </c>
      <c r="Q39" t="s">
        <v>405</v>
      </c>
      <c r="R39" t="s">
        <v>286</v>
      </c>
      <c r="S39" t="s">
        <v>406</v>
      </c>
      <c r="T39" t="s">
        <v>407</v>
      </c>
      <c r="U39" t="s">
        <v>289</v>
      </c>
      <c r="V39" t="s">
        <v>222</v>
      </c>
      <c r="W39" t="s">
        <v>223</v>
      </c>
      <c r="X39" t="s">
        <v>224</v>
      </c>
      <c r="Y39" t="s">
        <v>225</v>
      </c>
      <c r="Z39" t="s">
        <v>226</v>
      </c>
      <c r="AA39" t="s">
        <v>227</v>
      </c>
      <c r="AB39" t="s">
        <v>228</v>
      </c>
      <c r="AD39" t="s">
        <v>408</v>
      </c>
    </row>
    <row r="40" spans="1:30">
      <c r="A40">
        <v>23000</v>
      </c>
      <c r="B40" s="4">
        <v>331</v>
      </c>
      <c r="C40" s="4">
        <v>2288</v>
      </c>
      <c r="D40" s="4">
        <v>2112</v>
      </c>
      <c r="E40" s="4">
        <v>396</v>
      </c>
      <c r="F40" s="4">
        <v>2000</v>
      </c>
      <c r="G40" s="4">
        <v>0</v>
      </c>
      <c r="H40" s="4">
        <v>0</v>
      </c>
      <c r="I40" s="4">
        <v>0</v>
      </c>
      <c r="J40" s="4">
        <v>0</v>
      </c>
      <c r="K40" s="4">
        <v>0</v>
      </c>
      <c r="L40" s="4">
        <v>0</v>
      </c>
      <c r="M40" s="4">
        <v>0</v>
      </c>
      <c r="O40" t="s">
        <v>71</v>
      </c>
      <c r="P40" t="s">
        <v>291</v>
      </c>
      <c r="Q40" t="s">
        <v>409</v>
      </c>
      <c r="R40" t="s">
        <v>293</v>
      </c>
      <c r="S40" t="s">
        <v>410</v>
      </c>
      <c r="T40" t="s">
        <v>411</v>
      </c>
      <c r="U40" t="s">
        <v>296</v>
      </c>
      <c r="V40" t="s">
        <v>222</v>
      </c>
      <c r="W40" t="s">
        <v>223</v>
      </c>
      <c r="X40" t="s">
        <v>224</v>
      </c>
      <c r="Y40" t="s">
        <v>225</v>
      </c>
      <c r="Z40" t="s">
        <v>226</v>
      </c>
      <c r="AA40" t="s">
        <v>227</v>
      </c>
      <c r="AB40" t="s">
        <v>228</v>
      </c>
      <c r="AD40" t="s">
        <v>412</v>
      </c>
    </row>
    <row r="41" spans="1:30">
      <c r="A41">
        <v>21000</v>
      </c>
      <c r="B41" s="4">
        <v>321</v>
      </c>
      <c r="C41" s="4">
        <v>2344</v>
      </c>
      <c r="D41" s="4">
        <v>2280</v>
      </c>
      <c r="E41" s="4">
        <v>388</v>
      </c>
      <c r="F41" s="4">
        <v>2151</v>
      </c>
      <c r="G41" s="4">
        <v>0</v>
      </c>
      <c r="H41" s="4">
        <v>0</v>
      </c>
      <c r="I41" s="4">
        <v>0</v>
      </c>
      <c r="J41" s="4">
        <v>0</v>
      </c>
      <c r="K41" s="4">
        <v>0</v>
      </c>
      <c r="L41" s="4">
        <v>0</v>
      </c>
      <c r="M41" s="4">
        <v>0</v>
      </c>
      <c r="O41" t="s">
        <v>71</v>
      </c>
      <c r="P41" t="s">
        <v>298</v>
      </c>
      <c r="Q41" t="s">
        <v>413</v>
      </c>
      <c r="R41" t="s">
        <v>300</v>
      </c>
      <c r="S41" t="s">
        <v>414</v>
      </c>
      <c r="T41" t="s">
        <v>415</v>
      </c>
      <c r="U41" t="s">
        <v>303</v>
      </c>
      <c r="V41" t="s">
        <v>222</v>
      </c>
      <c r="W41" t="s">
        <v>223</v>
      </c>
      <c r="X41" t="s">
        <v>224</v>
      </c>
      <c r="Y41" t="s">
        <v>225</v>
      </c>
      <c r="Z41" t="s">
        <v>226</v>
      </c>
      <c r="AA41" t="s">
        <v>227</v>
      </c>
      <c r="AB41" t="s">
        <v>228</v>
      </c>
      <c r="AD41" t="s">
        <v>416</v>
      </c>
    </row>
    <row r="42" spans="1:30">
      <c r="A42">
        <v>19000</v>
      </c>
      <c r="B42" s="4">
        <v>311</v>
      </c>
      <c r="C42" s="4">
        <v>2402</v>
      </c>
      <c r="D42" s="4">
        <v>2438</v>
      </c>
      <c r="E42" s="4">
        <v>379</v>
      </c>
      <c r="F42" s="4">
        <v>2310</v>
      </c>
      <c r="G42" s="4">
        <v>0</v>
      </c>
      <c r="H42" s="4">
        <v>0</v>
      </c>
      <c r="I42" s="4">
        <v>0</v>
      </c>
      <c r="J42" s="4">
        <v>0</v>
      </c>
      <c r="K42" s="4">
        <v>0</v>
      </c>
      <c r="L42" s="4">
        <v>0</v>
      </c>
      <c r="M42" s="4">
        <v>0</v>
      </c>
      <c r="O42" t="s">
        <v>71</v>
      </c>
      <c r="P42" t="s">
        <v>305</v>
      </c>
      <c r="Q42" t="s">
        <v>417</v>
      </c>
      <c r="R42" t="s">
        <v>307</v>
      </c>
      <c r="S42" t="s">
        <v>418</v>
      </c>
      <c r="T42" t="s">
        <v>419</v>
      </c>
      <c r="U42" t="s">
        <v>310</v>
      </c>
      <c r="V42" t="s">
        <v>222</v>
      </c>
      <c r="W42" t="s">
        <v>223</v>
      </c>
      <c r="X42" t="s">
        <v>224</v>
      </c>
      <c r="Y42" t="s">
        <v>225</v>
      </c>
      <c r="Z42" t="s">
        <v>226</v>
      </c>
      <c r="AA42" t="s">
        <v>227</v>
      </c>
      <c r="AB42" t="s">
        <v>228</v>
      </c>
      <c r="AD42" t="s">
        <v>420</v>
      </c>
    </row>
    <row r="43" spans="1:30">
      <c r="A43">
        <v>17000</v>
      </c>
      <c r="B43" s="4">
        <v>301</v>
      </c>
      <c r="C43" s="4">
        <v>2461</v>
      </c>
      <c r="D43" s="4">
        <v>2588</v>
      </c>
      <c r="E43" s="4">
        <v>368</v>
      </c>
      <c r="F43" s="4">
        <v>2477</v>
      </c>
      <c r="G43" s="4">
        <v>0</v>
      </c>
      <c r="H43" s="4">
        <v>0</v>
      </c>
      <c r="I43" s="4">
        <v>0</v>
      </c>
      <c r="J43" s="4">
        <v>0</v>
      </c>
      <c r="K43" s="4">
        <v>0</v>
      </c>
      <c r="L43" s="4">
        <v>0</v>
      </c>
      <c r="M43" s="4">
        <v>0</v>
      </c>
      <c r="O43" t="s">
        <v>71</v>
      </c>
      <c r="P43" t="s">
        <v>312</v>
      </c>
      <c r="Q43" t="s">
        <v>421</v>
      </c>
      <c r="R43" t="s">
        <v>314</v>
      </c>
      <c r="S43" t="s">
        <v>422</v>
      </c>
      <c r="T43" t="s">
        <v>423</v>
      </c>
      <c r="U43" t="s">
        <v>317</v>
      </c>
      <c r="V43" t="s">
        <v>222</v>
      </c>
      <c r="W43" t="s">
        <v>223</v>
      </c>
      <c r="X43" t="s">
        <v>224</v>
      </c>
      <c r="Y43" t="s">
        <v>225</v>
      </c>
      <c r="Z43" t="s">
        <v>226</v>
      </c>
      <c r="AA43" t="s">
        <v>227</v>
      </c>
      <c r="AB43" t="s">
        <v>228</v>
      </c>
      <c r="AD43" t="s">
        <v>424</v>
      </c>
    </row>
    <row r="44" spans="1:30">
      <c r="A44">
        <v>15000</v>
      </c>
      <c r="B44" s="4">
        <v>292</v>
      </c>
      <c r="C44" s="4">
        <v>2522</v>
      </c>
      <c r="D44" s="4">
        <v>2728</v>
      </c>
      <c r="E44" s="4">
        <v>355</v>
      </c>
      <c r="F44" s="4">
        <v>2650</v>
      </c>
      <c r="G44" s="4">
        <v>0</v>
      </c>
      <c r="H44" s="4">
        <v>0</v>
      </c>
      <c r="I44" s="4">
        <v>0</v>
      </c>
      <c r="J44" s="4">
        <v>0</v>
      </c>
      <c r="K44" s="4">
        <v>0</v>
      </c>
      <c r="L44" s="4">
        <v>0</v>
      </c>
      <c r="M44" s="4">
        <v>0</v>
      </c>
      <c r="O44" t="s">
        <v>71</v>
      </c>
      <c r="P44" t="s">
        <v>319</v>
      </c>
      <c r="Q44" t="s">
        <v>425</v>
      </c>
      <c r="R44" t="s">
        <v>321</v>
      </c>
      <c r="S44" t="s">
        <v>426</v>
      </c>
      <c r="T44" t="s">
        <v>337</v>
      </c>
      <c r="U44" t="s">
        <v>324</v>
      </c>
      <c r="V44" t="s">
        <v>222</v>
      </c>
      <c r="W44" t="s">
        <v>223</v>
      </c>
      <c r="X44" t="s">
        <v>224</v>
      </c>
      <c r="Y44" t="s">
        <v>225</v>
      </c>
      <c r="Z44" t="s">
        <v>226</v>
      </c>
      <c r="AA44" t="s">
        <v>227</v>
      </c>
      <c r="AB44" t="s">
        <v>228</v>
      </c>
      <c r="AD44" t="s">
        <v>427</v>
      </c>
    </row>
    <row r="45" spans="1:30">
      <c r="A45">
        <v>13000</v>
      </c>
      <c r="B45" s="4">
        <v>283</v>
      </c>
      <c r="C45" s="4">
        <v>2585</v>
      </c>
      <c r="D45" s="4">
        <v>2860</v>
      </c>
      <c r="E45" s="4">
        <v>341</v>
      </c>
      <c r="F45" s="4">
        <v>2827</v>
      </c>
      <c r="G45" s="4">
        <v>0</v>
      </c>
      <c r="H45" s="4">
        <v>0</v>
      </c>
      <c r="I45" s="4">
        <v>0</v>
      </c>
      <c r="J45" s="4">
        <v>0</v>
      </c>
      <c r="K45" s="4">
        <v>0</v>
      </c>
      <c r="L45" s="4">
        <v>0</v>
      </c>
      <c r="M45" s="4">
        <v>0</v>
      </c>
      <c r="O45" t="s">
        <v>71</v>
      </c>
      <c r="P45" t="s">
        <v>326</v>
      </c>
      <c r="Q45" t="s">
        <v>428</v>
      </c>
      <c r="R45" t="s">
        <v>328</v>
      </c>
      <c r="S45" t="s">
        <v>429</v>
      </c>
      <c r="T45" t="s">
        <v>430</v>
      </c>
      <c r="U45" t="s">
        <v>331</v>
      </c>
      <c r="V45" t="s">
        <v>222</v>
      </c>
      <c r="W45" t="s">
        <v>223</v>
      </c>
      <c r="X45" t="s">
        <v>224</v>
      </c>
      <c r="Y45" t="s">
        <v>225</v>
      </c>
      <c r="Z45" t="s">
        <v>226</v>
      </c>
      <c r="AA45" t="s">
        <v>227</v>
      </c>
      <c r="AB45" t="s">
        <v>228</v>
      </c>
      <c r="AD45" t="s">
        <v>431</v>
      </c>
    </row>
    <row r="46" spans="1:30">
      <c r="A46">
        <v>11000</v>
      </c>
      <c r="B46" s="4">
        <v>275</v>
      </c>
      <c r="C46" s="4">
        <v>2650</v>
      </c>
      <c r="D46" s="4">
        <v>2984</v>
      </c>
      <c r="E46" s="4">
        <v>325</v>
      </c>
      <c r="F46" s="4">
        <v>3008</v>
      </c>
      <c r="G46" s="4">
        <v>0</v>
      </c>
      <c r="H46" s="4">
        <v>0</v>
      </c>
      <c r="I46" s="4">
        <v>0</v>
      </c>
      <c r="J46" s="4">
        <v>0</v>
      </c>
      <c r="K46" s="4">
        <v>0</v>
      </c>
      <c r="L46" s="4">
        <v>0</v>
      </c>
      <c r="M46" s="4">
        <v>0</v>
      </c>
      <c r="O46" t="s">
        <v>71</v>
      </c>
      <c r="P46" t="s">
        <v>333</v>
      </c>
      <c r="Q46" t="s">
        <v>432</v>
      </c>
      <c r="R46" t="s">
        <v>335</v>
      </c>
      <c r="S46" t="s">
        <v>433</v>
      </c>
      <c r="T46" t="s">
        <v>434</v>
      </c>
      <c r="U46" t="s">
        <v>338</v>
      </c>
      <c r="V46" t="s">
        <v>222</v>
      </c>
      <c r="W46" t="s">
        <v>223</v>
      </c>
      <c r="X46" t="s">
        <v>224</v>
      </c>
      <c r="Y46" t="s">
        <v>225</v>
      </c>
      <c r="Z46" t="s">
        <v>226</v>
      </c>
      <c r="AA46" t="s">
        <v>227</v>
      </c>
      <c r="AB46" t="s">
        <v>228</v>
      </c>
      <c r="AD46" t="s">
        <v>435</v>
      </c>
    </row>
    <row r="47" spans="1:30">
      <c r="A47">
        <v>9000</v>
      </c>
      <c r="B47" s="4">
        <v>266</v>
      </c>
      <c r="C47" s="4">
        <v>2717</v>
      </c>
      <c r="D47" s="4">
        <v>3098</v>
      </c>
      <c r="E47" s="4">
        <v>307</v>
      </c>
      <c r="F47" s="4">
        <v>3190</v>
      </c>
      <c r="G47" s="4">
        <v>0</v>
      </c>
      <c r="H47" s="4">
        <v>0</v>
      </c>
      <c r="I47" s="4">
        <v>0</v>
      </c>
      <c r="J47" s="4">
        <v>0</v>
      </c>
      <c r="K47" s="4">
        <v>0</v>
      </c>
      <c r="L47" s="4">
        <v>0</v>
      </c>
      <c r="M47" s="4">
        <v>0</v>
      </c>
      <c r="N47" s="5"/>
      <c r="O47" t="s">
        <v>71</v>
      </c>
      <c r="P47" t="s">
        <v>340</v>
      </c>
      <c r="Q47" t="s">
        <v>436</v>
      </c>
      <c r="R47" t="s">
        <v>342</v>
      </c>
      <c r="S47" t="s">
        <v>437</v>
      </c>
      <c r="T47" t="s">
        <v>438</v>
      </c>
      <c r="U47" t="s">
        <v>345</v>
      </c>
      <c r="V47" t="s">
        <v>222</v>
      </c>
      <c r="W47" t="s">
        <v>223</v>
      </c>
      <c r="X47" t="s">
        <v>224</v>
      </c>
      <c r="Y47" t="s">
        <v>225</v>
      </c>
      <c r="Z47" t="s">
        <v>226</v>
      </c>
      <c r="AA47" t="s">
        <v>227</v>
      </c>
      <c r="AB47" t="s">
        <v>228</v>
      </c>
      <c r="AD47" t="s">
        <v>439</v>
      </c>
    </row>
    <row r="48" spans="1:30">
      <c r="A48">
        <v>7000</v>
      </c>
      <c r="B48" s="4">
        <v>259</v>
      </c>
      <c r="C48" s="4">
        <v>2786</v>
      </c>
      <c r="D48" s="4">
        <v>3203</v>
      </c>
      <c r="E48" s="4">
        <v>286</v>
      </c>
      <c r="F48" s="4">
        <v>3373</v>
      </c>
      <c r="G48" s="4">
        <v>0</v>
      </c>
      <c r="H48" s="4">
        <v>0</v>
      </c>
      <c r="I48" s="4">
        <v>0</v>
      </c>
      <c r="J48" s="4">
        <v>0</v>
      </c>
      <c r="K48" s="4">
        <v>0</v>
      </c>
      <c r="L48" s="4">
        <v>0</v>
      </c>
      <c r="M48" s="4">
        <v>0</v>
      </c>
      <c r="N48" s="5"/>
      <c r="O48" t="s">
        <v>71</v>
      </c>
      <c r="P48" t="s">
        <v>347</v>
      </c>
      <c r="Q48" t="s">
        <v>440</v>
      </c>
      <c r="R48" t="s">
        <v>349</v>
      </c>
      <c r="S48" t="s">
        <v>441</v>
      </c>
      <c r="T48" t="s">
        <v>442</v>
      </c>
      <c r="U48" t="s">
        <v>352</v>
      </c>
      <c r="V48" t="s">
        <v>222</v>
      </c>
      <c r="W48" t="s">
        <v>223</v>
      </c>
      <c r="X48" t="s">
        <v>224</v>
      </c>
      <c r="Y48" t="s">
        <v>225</v>
      </c>
      <c r="Z48" t="s">
        <v>226</v>
      </c>
      <c r="AA48" t="s">
        <v>227</v>
      </c>
      <c r="AB48" t="s">
        <v>228</v>
      </c>
      <c r="AD48" t="s">
        <v>443</v>
      </c>
    </row>
    <row r="49" spans="1:30">
      <c r="A49">
        <v>5000</v>
      </c>
      <c r="B49" s="4">
        <v>251</v>
      </c>
      <c r="C49" s="4">
        <v>2856</v>
      </c>
      <c r="D49" s="4">
        <v>3300</v>
      </c>
      <c r="E49" s="4">
        <v>264</v>
      </c>
      <c r="F49" s="4">
        <v>3556</v>
      </c>
      <c r="G49" s="4">
        <v>0</v>
      </c>
      <c r="H49" s="4">
        <v>0</v>
      </c>
      <c r="I49" s="4">
        <v>0</v>
      </c>
      <c r="J49" s="4">
        <v>0</v>
      </c>
      <c r="K49" s="4">
        <v>0</v>
      </c>
      <c r="L49" s="4">
        <v>0</v>
      </c>
      <c r="M49" s="4">
        <v>0</v>
      </c>
      <c r="N49" s="3"/>
      <c r="O49" t="s">
        <v>71</v>
      </c>
      <c r="P49" t="s">
        <v>354</v>
      </c>
      <c r="Q49" t="s">
        <v>444</v>
      </c>
      <c r="R49" t="s">
        <v>356</v>
      </c>
      <c r="S49" t="s">
        <v>445</v>
      </c>
      <c r="T49" t="s">
        <v>446</v>
      </c>
      <c r="U49" t="s">
        <v>359</v>
      </c>
      <c r="V49" t="s">
        <v>222</v>
      </c>
      <c r="W49" t="s">
        <v>223</v>
      </c>
      <c r="X49" t="s">
        <v>224</v>
      </c>
      <c r="Y49" t="s">
        <v>225</v>
      </c>
      <c r="Z49" t="s">
        <v>226</v>
      </c>
      <c r="AA49" t="s">
        <v>227</v>
      </c>
      <c r="AB49" t="s">
        <v>228</v>
      </c>
      <c r="AD49" t="s">
        <v>447</v>
      </c>
    </row>
    <row r="50" spans="1:30">
      <c r="A50">
        <v>3000</v>
      </c>
      <c r="B50" s="4">
        <v>244</v>
      </c>
      <c r="C50" s="4">
        <v>2929</v>
      </c>
      <c r="D50" s="4">
        <v>3384</v>
      </c>
      <c r="E50" s="4">
        <v>239</v>
      </c>
      <c r="F50" s="4">
        <v>3736</v>
      </c>
      <c r="G50" s="4">
        <v>0</v>
      </c>
      <c r="H50" s="4">
        <v>0</v>
      </c>
      <c r="I50" s="4">
        <v>0</v>
      </c>
      <c r="J50" s="4">
        <v>0</v>
      </c>
      <c r="K50" s="4">
        <v>0</v>
      </c>
      <c r="L50" s="4">
        <v>0</v>
      </c>
      <c r="M50" s="4">
        <v>0</v>
      </c>
      <c r="N50" s="5"/>
      <c r="O50" t="s">
        <v>71</v>
      </c>
      <c r="P50" t="s">
        <v>361</v>
      </c>
      <c r="Q50" t="s">
        <v>448</v>
      </c>
      <c r="R50" t="s">
        <v>363</v>
      </c>
      <c r="S50" t="s">
        <v>449</v>
      </c>
      <c r="T50" t="s">
        <v>450</v>
      </c>
      <c r="U50" t="s">
        <v>366</v>
      </c>
      <c r="V50" t="s">
        <v>222</v>
      </c>
      <c r="W50" t="s">
        <v>223</v>
      </c>
      <c r="X50" t="s">
        <v>224</v>
      </c>
      <c r="Y50" t="s">
        <v>225</v>
      </c>
      <c r="Z50" t="s">
        <v>226</v>
      </c>
      <c r="AA50" t="s">
        <v>227</v>
      </c>
      <c r="AB50" t="s">
        <v>228</v>
      </c>
      <c r="AD50" t="s">
        <v>451</v>
      </c>
    </row>
    <row r="51" spans="1:30">
      <c r="A51">
        <v>1000</v>
      </c>
      <c r="B51" s="4">
        <v>237</v>
      </c>
      <c r="C51" s="4">
        <v>3003</v>
      </c>
      <c r="D51" s="4">
        <v>3463</v>
      </c>
      <c r="E51" s="4">
        <v>212</v>
      </c>
      <c r="F51" s="4">
        <v>3913</v>
      </c>
      <c r="G51" s="4">
        <v>0</v>
      </c>
      <c r="H51" s="4">
        <v>0</v>
      </c>
      <c r="I51" s="4">
        <v>0</v>
      </c>
      <c r="J51" s="4">
        <v>0</v>
      </c>
      <c r="K51" s="4">
        <v>0</v>
      </c>
      <c r="L51" s="4">
        <v>0</v>
      </c>
      <c r="M51" s="4">
        <v>0</v>
      </c>
      <c r="N51" s="3"/>
      <c r="O51" t="s">
        <v>71</v>
      </c>
      <c r="P51" t="s">
        <v>368</v>
      </c>
      <c r="Q51" t="s">
        <v>452</v>
      </c>
      <c r="R51" t="s">
        <v>370</v>
      </c>
      <c r="S51" t="s">
        <v>453</v>
      </c>
      <c r="T51" t="s">
        <v>454</v>
      </c>
      <c r="U51" t="s">
        <v>373</v>
      </c>
      <c r="V51" t="s">
        <v>222</v>
      </c>
      <c r="W51" t="s">
        <v>223</v>
      </c>
      <c r="X51" t="s">
        <v>224</v>
      </c>
      <c r="Y51" t="s">
        <v>225</v>
      </c>
      <c r="Z51" t="s">
        <v>226</v>
      </c>
      <c r="AA51" t="s">
        <v>227</v>
      </c>
      <c r="AB51" t="s">
        <v>374</v>
      </c>
      <c r="AD51" t="s">
        <v>455</v>
      </c>
    </row>
    <row r="53" spans="1:30">
      <c r="A53" t="s">
        <v>159</v>
      </c>
      <c r="B53" t="s">
        <v>456</v>
      </c>
    </row>
    <row r="54" spans="1:30">
      <c r="A54" t="s">
        <v>177</v>
      </c>
      <c r="B54" t="s">
        <v>42</v>
      </c>
      <c r="C54" t="s">
        <v>43</v>
      </c>
      <c r="D54" t="s">
        <v>48</v>
      </c>
      <c r="E54" t="s">
        <v>51</v>
      </c>
      <c r="F54" t="s">
        <v>59</v>
      </c>
      <c r="G54" t="s">
        <v>178</v>
      </c>
      <c r="H54" t="s">
        <v>179</v>
      </c>
      <c r="I54" t="s">
        <v>52</v>
      </c>
      <c r="J54" t="s">
        <v>44</v>
      </c>
      <c r="K54" t="s">
        <v>180</v>
      </c>
      <c r="L54" t="s">
        <v>181</v>
      </c>
      <c r="M54" t="s">
        <v>62</v>
      </c>
    </row>
    <row r="55" spans="1:30">
      <c r="A55">
        <v>45000</v>
      </c>
      <c r="B55" s="4">
        <v>410</v>
      </c>
      <c r="C55" s="4">
        <v>960</v>
      </c>
      <c r="D55" s="4">
        <v>332</v>
      </c>
      <c r="E55" s="4">
        <v>434</v>
      </c>
      <c r="F55" s="4">
        <v>1030</v>
      </c>
      <c r="G55" s="4">
        <v>0</v>
      </c>
      <c r="H55" s="4">
        <v>0</v>
      </c>
      <c r="I55" s="4">
        <v>0</v>
      </c>
      <c r="J55" s="4">
        <v>0</v>
      </c>
      <c r="K55" s="4">
        <v>0</v>
      </c>
      <c r="L55" s="4">
        <v>0</v>
      </c>
      <c r="M55" s="4">
        <v>0</v>
      </c>
      <c r="O55" t="s">
        <v>182</v>
      </c>
      <c r="P55" t="s">
        <v>216</v>
      </c>
      <c r="Q55" t="s">
        <v>217</v>
      </c>
      <c r="R55" t="s">
        <v>457</v>
      </c>
      <c r="S55" t="s">
        <v>458</v>
      </c>
      <c r="T55" t="s">
        <v>220</v>
      </c>
      <c r="U55" t="s">
        <v>459</v>
      </c>
      <c r="V55" t="s">
        <v>222</v>
      </c>
      <c r="W55" t="s">
        <v>223</v>
      </c>
      <c r="X55" t="s">
        <v>224</v>
      </c>
      <c r="Y55" t="s">
        <v>225</v>
      </c>
      <c r="Z55" t="s">
        <v>226</v>
      </c>
      <c r="AA55" t="s">
        <v>227</v>
      </c>
      <c r="AB55" t="s">
        <v>228</v>
      </c>
      <c r="AD55" t="s">
        <v>460</v>
      </c>
    </row>
    <row r="56" spans="1:30">
      <c r="A56">
        <v>43000</v>
      </c>
      <c r="B56" s="4">
        <v>410</v>
      </c>
      <c r="C56" s="4">
        <v>1042</v>
      </c>
      <c r="D56" s="4">
        <v>542</v>
      </c>
      <c r="E56" s="4">
        <v>437</v>
      </c>
      <c r="F56" s="4">
        <v>1036</v>
      </c>
      <c r="G56" s="4">
        <v>0</v>
      </c>
      <c r="H56" s="4">
        <v>0</v>
      </c>
      <c r="I56" s="4">
        <v>0</v>
      </c>
      <c r="J56" s="4">
        <v>0</v>
      </c>
      <c r="K56" s="4">
        <v>0</v>
      </c>
      <c r="L56" s="4">
        <v>0</v>
      </c>
      <c r="M56" s="4">
        <v>0</v>
      </c>
      <c r="O56" t="s">
        <v>71</v>
      </c>
      <c r="P56" t="s">
        <v>230</v>
      </c>
      <c r="Q56" t="s">
        <v>217</v>
      </c>
      <c r="R56" t="s">
        <v>461</v>
      </c>
      <c r="S56" t="s">
        <v>462</v>
      </c>
      <c r="T56" t="s">
        <v>232</v>
      </c>
      <c r="U56" t="s">
        <v>463</v>
      </c>
      <c r="V56" t="s">
        <v>222</v>
      </c>
      <c r="W56" t="s">
        <v>223</v>
      </c>
      <c r="X56" t="s">
        <v>224</v>
      </c>
      <c r="Y56" t="s">
        <v>225</v>
      </c>
      <c r="Z56" t="s">
        <v>226</v>
      </c>
      <c r="AA56" t="s">
        <v>227</v>
      </c>
      <c r="AB56" t="s">
        <v>228</v>
      </c>
      <c r="AD56" t="s">
        <v>464</v>
      </c>
    </row>
    <row r="57" spans="1:30">
      <c r="A57">
        <v>41000</v>
      </c>
      <c r="B57" s="4">
        <v>410</v>
      </c>
      <c r="C57" s="4">
        <v>1126</v>
      </c>
      <c r="D57" s="4">
        <v>749</v>
      </c>
      <c r="E57" s="4">
        <v>440</v>
      </c>
      <c r="F57" s="4">
        <v>1062</v>
      </c>
      <c r="G57" s="4">
        <v>0</v>
      </c>
      <c r="H57" s="4">
        <v>0</v>
      </c>
      <c r="I57" s="4">
        <v>0</v>
      </c>
      <c r="J57" s="4">
        <v>0</v>
      </c>
      <c r="K57" s="4">
        <v>0</v>
      </c>
      <c r="L57" s="4">
        <v>0</v>
      </c>
      <c r="M57" s="4">
        <v>0</v>
      </c>
      <c r="O57" t="s">
        <v>71</v>
      </c>
      <c r="P57" t="s">
        <v>235</v>
      </c>
      <c r="Q57" t="s">
        <v>217</v>
      </c>
      <c r="R57" t="s">
        <v>465</v>
      </c>
      <c r="S57" t="s">
        <v>466</v>
      </c>
      <c r="T57" t="s">
        <v>238</v>
      </c>
      <c r="U57" t="s">
        <v>467</v>
      </c>
      <c r="V57" t="s">
        <v>222</v>
      </c>
      <c r="W57" t="s">
        <v>223</v>
      </c>
      <c r="X57" t="s">
        <v>224</v>
      </c>
      <c r="Y57" t="s">
        <v>225</v>
      </c>
      <c r="Z57" t="s">
        <v>226</v>
      </c>
      <c r="AA57" t="s">
        <v>227</v>
      </c>
      <c r="AB57" t="s">
        <v>228</v>
      </c>
      <c r="AD57" t="s">
        <v>468</v>
      </c>
    </row>
    <row r="58" spans="1:30">
      <c r="A58">
        <v>39000</v>
      </c>
      <c r="B58" s="4">
        <v>410</v>
      </c>
      <c r="C58" s="4">
        <v>1212</v>
      </c>
      <c r="D58" s="4">
        <v>955</v>
      </c>
      <c r="E58" s="4">
        <v>442</v>
      </c>
      <c r="F58" s="4">
        <v>1106</v>
      </c>
      <c r="G58" s="4">
        <v>0</v>
      </c>
      <c r="H58" s="4">
        <v>0</v>
      </c>
      <c r="I58" s="4">
        <v>0</v>
      </c>
      <c r="J58" s="4">
        <v>0</v>
      </c>
      <c r="K58" s="4">
        <v>0</v>
      </c>
      <c r="L58" s="4">
        <v>0</v>
      </c>
      <c r="M58" s="4">
        <v>0</v>
      </c>
      <c r="O58" t="s">
        <v>71</v>
      </c>
      <c r="P58" t="s">
        <v>241</v>
      </c>
      <c r="Q58" t="s">
        <v>217</v>
      </c>
      <c r="R58" t="s">
        <v>469</v>
      </c>
      <c r="S58" t="s">
        <v>470</v>
      </c>
      <c r="T58" t="s">
        <v>244</v>
      </c>
      <c r="U58" t="s">
        <v>471</v>
      </c>
      <c r="V58" t="s">
        <v>222</v>
      </c>
      <c r="W58" t="s">
        <v>223</v>
      </c>
      <c r="X58" t="s">
        <v>224</v>
      </c>
      <c r="Y58" t="s">
        <v>225</v>
      </c>
      <c r="Z58" t="s">
        <v>226</v>
      </c>
      <c r="AA58" t="s">
        <v>227</v>
      </c>
      <c r="AB58" t="s">
        <v>228</v>
      </c>
      <c r="AD58" t="s">
        <v>472</v>
      </c>
    </row>
    <row r="59" spans="1:30">
      <c r="A59">
        <v>37000</v>
      </c>
      <c r="B59" s="4">
        <v>410</v>
      </c>
      <c r="C59" s="4">
        <v>1300</v>
      </c>
      <c r="D59" s="4">
        <v>1159</v>
      </c>
      <c r="E59" s="4">
        <v>444</v>
      </c>
      <c r="F59" s="4">
        <v>1170</v>
      </c>
      <c r="G59" s="4">
        <v>0</v>
      </c>
      <c r="H59" s="4">
        <v>0</v>
      </c>
      <c r="I59" s="4">
        <v>0</v>
      </c>
      <c r="J59" s="4">
        <v>0</v>
      </c>
      <c r="K59" s="4">
        <v>0</v>
      </c>
      <c r="L59" s="4">
        <v>0</v>
      </c>
      <c r="M59" s="4">
        <v>0</v>
      </c>
      <c r="O59" t="s">
        <v>71</v>
      </c>
      <c r="P59" t="s">
        <v>247</v>
      </c>
      <c r="Q59" t="s">
        <v>217</v>
      </c>
      <c r="R59" t="s">
        <v>473</v>
      </c>
      <c r="S59" t="s">
        <v>474</v>
      </c>
      <c r="T59" t="s">
        <v>250</v>
      </c>
      <c r="U59" t="s">
        <v>475</v>
      </c>
      <c r="V59" t="s">
        <v>222</v>
      </c>
      <c r="W59" t="s">
        <v>223</v>
      </c>
      <c r="X59" t="s">
        <v>224</v>
      </c>
      <c r="Y59" t="s">
        <v>225</v>
      </c>
      <c r="Z59" t="s">
        <v>226</v>
      </c>
      <c r="AA59" t="s">
        <v>227</v>
      </c>
      <c r="AB59" t="s">
        <v>228</v>
      </c>
      <c r="AD59" t="s">
        <v>476</v>
      </c>
    </row>
    <row r="60" spans="1:30">
      <c r="A60">
        <v>35000</v>
      </c>
      <c r="B60" s="4">
        <v>412</v>
      </c>
      <c r="C60" s="4">
        <v>1390</v>
      </c>
      <c r="D60" s="4">
        <v>1362</v>
      </c>
      <c r="E60" s="4">
        <v>444</v>
      </c>
      <c r="F60" s="4">
        <v>1249</v>
      </c>
      <c r="G60" s="4">
        <v>0</v>
      </c>
      <c r="H60" s="4">
        <v>0</v>
      </c>
      <c r="I60" s="4">
        <v>0</v>
      </c>
      <c r="J60" s="4">
        <v>0</v>
      </c>
      <c r="K60" s="4">
        <v>0</v>
      </c>
      <c r="L60" s="4">
        <v>0</v>
      </c>
      <c r="M60" s="4">
        <v>0</v>
      </c>
      <c r="O60" t="s">
        <v>71</v>
      </c>
      <c r="P60" t="s">
        <v>253</v>
      </c>
      <c r="Q60" t="s">
        <v>254</v>
      </c>
      <c r="R60" t="s">
        <v>477</v>
      </c>
      <c r="S60" t="s">
        <v>478</v>
      </c>
      <c r="T60" t="s">
        <v>250</v>
      </c>
      <c r="U60" t="s">
        <v>479</v>
      </c>
      <c r="V60" t="s">
        <v>222</v>
      </c>
      <c r="W60" t="s">
        <v>223</v>
      </c>
      <c r="X60" t="s">
        <v>224</v>
      </c>
      <c r="Y60" t="s">
        <v>225</v>
      </c>
      <c r="Z60" t="s">
        <v>226</v>
      </c>
      <c r="AA60" t="s">
        <v>227</v>
      </c>
      <c r="AB60" t="s">
        <v>228</v>
      </c>
      <c r="AD60" t="s">
        <v>480</v>
      </c>
    </row>
    <row r="61" spans="1:30">
      <c r="A61">
        <v>33000</v>
      </c>
      <c r="B61" s="4">
        <v>416</v>
      </c>
      <c r="C61" s="4">
        <v>1482</v>
      </c>
      <c r="D61" s="4">
        <v>1562</v>
      </c>
      <c r="E61" s="4">
        <v>444</v>
      </c>
      <c r="F61" s="4">
        <v>1345</v>
      </c>
      <c r="G61" s="4">
        <v>0</v>
      </c>
      <c r="H61" s="4">
        <v>0</v>
      </c>
      <c r="I61" s="4">
        <v>0</v>
      </c>
      <c r="J61" s="4">
        <v>0</v>
      </c>
      <c r="K61" s="4">
        <v>0</v>
      </c>
      <c r="L61" s="4">
        <v>0</v>
      </c>
      <c r="M61" s="4">
        <v>0</v>
      </c>
      <c r="O61" t="s">
        <v>71</v>
      </c>
      <c r="P61" t="s">
        <v>259</v>
      </c>
      <c r="Q61" t="s">
        <v>260</v>
      </c>
      <c r="R61" t="s">
        <v>481</v>
      </c>
      <c r="S61" t="s">
        <v>482</v>
      </c>
      <c r="T61" t="s">
        <v>250</v>
      </c>
      <c r="U61" t="s">
        <v>483</v>
      </c>
      <c r="V61" t="s">
        <v>222</v>
      </c>
      <c r="W61" t="s">
        <v>223</v>
      </c>
      <c r="X61" t="s">
        <v>224</v>
      </c>
      <c r="Y61" t="s">
        <v>225</v>
      </c>
      <c r="Z61" t="s">
        <v>226</v>
      </c>
      <c r="AA61" t="s">
        <v>227</v>
      </c>
      <c r="AB61" t="s">
        <v>228</v>
      </c>
      <c r="AD61" t="s">
        <v>484</v>
      </c>
    </row>
    <row r="62" spans="1:30">
      <c r="A62">
        <v>31000</v>
      </c>
      <c r="B62" s="4">
        <v>408</v>
      </c>
      <c r="C62" s="4">
        <v>1575</v>
      </c>
      <c r="D62" s="4">
        <v>1760</v>
      </c>
      <c r="E62" s="4">
        <v>443</v>
      </c>
      <c r="F62" s="4">
        <v>1455</v>
      </c>
      <c r="G62" s="4">
        <v>0</v>
      </c>
      <c r="H62" s="4">
        <v>0</v>
      </c>
      <c r="I62" s="4">
        <v>0</v>
      </c>
      <c r="J62" s="4">
        <v>0</v>
      </c>
      <c r="K62" s="4">
        <v>0</v>
      </c>
      <c r="L62" s="4">
        <v>0</v>
      </c>
      <c r="M62" s="4">
        <v>0</v>
      </c>
      <c r="O62" t="s">
        <v>71</v>
      </c>
      <c r="P62" t="s">
        <v>265</v>
      </c>
      <c r="Q62" t="s">
        <v>266</v>
      </c>
      <c r="R62" t="s">
        <v>485</v>
      </c>
      <c r="S62" t="s">
        <v>486</v>
      </c>
      <c r="T62" t="s">
        <v>269</v>
      </c>
      <c r="U62" t="s">
        <v>487</v>
      </c>
      <c r="V62" t="s">
        <v>222</v>
      </c>
      <c r="W62" t="s">
        <v>223</v>
      </c>
      <c r="X62" t="s">
        <v>224</v>
      </c>
      <c r="Y62" t="s">
        <v>225</v>
      </c>
      <c r="Z62" t="s">
        <v>226</v>
      </c>
      <c r="AA62" t="s">
        <v>227</v>
      </c>
      <c r="AB62" t="s">
        <v>228</v>
      </c>
      <c r="AD62" t="s">
        <v>488</v>
      </c>
    </row>
    <row r="63" spans="1:30">
      <c r="A63">
        <v>29000</v>
      </c>
      <c r="B63" s="4">
        <v>395</v>
      </c>
      <c r="C63" s="4">
        <v>1671</v>
      </c>
      <c r="D63" s="4">
        <v>1957</v>
      </c>
      <c r="E63" s="4">
        <v>440</v>
      </c>
      <c r="F63" s="4">
        <v>1579</v>
      </c>
      <c r="G63" s="4">
        <v>0</v>
      </c>
      <c r="H63" s="4">
        <v>0</v>
      </c>
      <c r="I63" s="4">
        <v>0</v>
      </c>
      <c r="J63" s="4">
        <v>0</v>
      </c>
      <c r="K63" s="4">
        <v>0</v>
      </c>
      <c r="L63" s="4">
        <v>0</v>
      </c>
      <c r="M63" s="4">
        <v>0</v>
      </c>
      <c r="O63" t="s">
        <v>71</v>
      </c>
      <c r="P63" t="s">
        <v>272</v>
      </c>
      <c r="Q63" t="s">
        <v>273</v>
      </c>
      <c r="R63" t="s">
        <v>489</v>
      </c>
      <c r="S63" t="s">
        <v>490</v>
      </c>
      <c r="T63" t="s">
        <v>238</v>
      </c>
      <c r="U63" t="s">
        <v>491</v>
      </c>
      <c r="V63" t="s">
        <v>222</v>
      </c>
      <c r="W63" t="s">
        <v>223</v>
      </c>
      <c r="X63" t="s">
        <v>224</v>
      </c>
      <c r="Y63" t="s">
        <v>225</v>
      </c>
      <c r="Z63" t="s">
        <v>226</v>
      </c>
      <c r="AA63" t="s">
        <v>227</v>
      </c>
      <c r="AB63" t="s">
        <v>228</v>
      </c>
      <c r="AD63" t="s">
        <v>492</v>
      </c>
    </row>
    <row r="64" spans="1:30">
      <c r="A64">
        <v>27000</v>
      </c>
      <c r="B64" s="4">
        <v>383</v>
      </c>
      <c r="C64" s="4">
        <v>1769</v>
      </c>
      <c r="D64" s="4">
        <v>2152</v>
      </c>
      <c r="E64" s="4">
        <v>437</v>
      </c>
      <c r="F64" s="4">
        <v>1714</v>
      </c>
      <c r="G64" s="4">
        <v>0</v>
      </c>
      <c r="H64" s="4">
        <v>0</v>
      </c>
      <c r="I64" s="4">
        <v>0</v>
      </c>
      <c r="J64" s="4">
        <v>0</v>
      </c>
      <c r="K64" s="4">
        <v>0</v>
      </c>
      <c r="L64" s="4">
        <v>0</v>
      </c>
      <c r="M64" s="4">
        <v>0</v>
      </c>
      <c r="O64" t="s">
        <v>71</v>
      </c>
      <c r="P64" t="s">
        <v>278</v>
      </c>
      <c r="Q64" t="s">
        <v>279</v>
      </c>
      <c r="R64" t="s">
        <v>493</v>
      </c>
      <c r="S64" t="s">
        <v>494</v>
      </c>
      <c r="T64" t="s">
        <v>232</v>
      </c>
      <c r="U64" t="s">
        <v>495</v>
      </c>
      <c r="V64" t="s">
        <v>222</v>
      </c>
      <c r="W64" t="s">
        <v>223</v>
      </c>
      <c r="X64" t="s">
        <v>224</v>
      </c>
      <c r="Y64" t="s">
        <v>225</v>
      </c>
      <c r="Z64" t="s">
        <v>226</v>
      </c>
      <c r="AA64" t="s">
        <v>227</v>
      </c>
      <c r="AB64" t="s">
        <v>228</v>
      </c>
      <c r="AD64" t="s">
        <v>496</v>
      </c>
    </row>
    <row r="65" spans="1:30">
      <c r="A65">
        <v>25000</v>
      </c>
      <c r="B65" s="4">
        <v>370</v>
      </c>
      <c r="C65" s="4">
        <v>1869</v>
      </c>
      <c r="D65" s="4">
        <v>2345</v>
      </c>
      <c r="E65" s="4">
        <v>432</v>
      </c>
      <c r="F65" s="4">
        <v>1860</v>
      </c>
      <c r="G65" s="4">
        <v>0</v>
      </c>
      <c r="H65" s="4">
        <v>0</v>
      </c>
      <c r="I65" s="4">
        <v>0</v>
      </c>
      <c r="J65" s="4">
        <v>0</v>
      </c>
      <c r="K65" s="4">
        <v>0</v>
      </c>
      <c r="L65" s="4">
        <v>0</v>
      </c>
      <c r="M65" s="4">
        <v>0</v>
      </c>
      <c r="O65" t="s">
        <v>71</v>
      </c>
      <c r="P65" t="s">
        <v>284</v>
      </c>
      <c r="Q65" t="s">
        <v>285</v>
      </c>
      <c r="R65" t="s">
        <v>497</v>
      </c>
      <c r="S65" t="s">
        <v>498</v>
      </c>
      <c r="T65" t="s">
        <v>288</v>
      </c>
      <c r="U65" t="s">
        <v>499</v>
      </c>
      <c r="V65" t="s">
        <v>222</v>
      </c>
      <c r="W65" t="s">
        <v>223</v>
      </c>
      <c r="X65" t="s">
        <v>224</v>
      </c>
      <c r="Y65" t="s">
        <v>225</v>
      </c>
      <c r="Z65" t="s">
        <v>226</v>
      </c>
      <c r="AA65" t="s">
        <v>227</v>
      </c>
      <c r="AB65" t="s">
        <v>228</v>
      </c>
      <c r="AD65" t="s">
        <v>500</v>
      </c>
    </row>
    <row r="66" spans="1:30">
      <c r="A66">
        <v>23000</v>
      </c>
      <c r="B66" s="4">
        <v>359</v>
      </c>
      <c r="C66" s="4">
        <v>1970</v>
      </c>
      <c r="D66" s="4">
        <v>2536</v>
      </c>
      <c r="E66" s="4">
        <v>426</v>
      </c>
      <c r="F66" s="4">
        <v>2016</v>
      </c>
      <c r="G66" s="4">
        <v>0</v>
      </c>
      <c r="H66" s="4">
        <v>0</v>
      </c>
      <c r="I66" s="4">
        <v>0</v>
      </c>
      <c r="J66" s="4">
        <v>0</v>
      </c>
      <c r="K66" s="4">
        <v>0</v>
      </c>
      <c r="L66" s="4">
        <v>0</v>
      </c>
      <c r="M66" s="4">
        <v>0</v>
      </c>
      <c r="O66" t="s">
        <v>71</v>
      </c>
      <c r="P66" t="s">
        <v>291</v>
      </c>
      <c r="Q66" t="s">
        <v>292</v>
      </c>
      <c r="R66" t="s">
        <v>501</v>
      </c>
      <c r="S66" t="s">
        <v>502</v>
      </c>
      <c r="T66" t="s">
        <v>295</v>
      </c>
      <c r="U66" t="s">
        <v>503</v>
      </c>
      <c r="V66" t="s">
        <v>222</v>
      </c>
      <c r="W66" t="s">
        <v>223</v>
      </c>
      <c r="X66" t="s">
        <v>224</v>
      </c>
      <c r="Y66" t="s">
        <v>225</v>
      </c>
      <c r="Z66" t="s">
        <v>226</v>
      </c>
      <c r="AA66" t="s">
        <v>227</v>
      </c>
      <c r="AB66" t="s">
        <v>228</v>
      </c>
      <c r="AD66" t="s">
        <v>504</v>
      </c>
    </row>
    <row r="67" spans="1:30">
      <c r="A67">
        <v>21000</v>
      </c>
      <c r="B67" s="4">
        <v>348</v>
      </c>
      <c r="C67" s="4">
        <v>2074</v>
      </c>
      <c r="D67" s="4">
        <v>2725</v>
      </c>
      <c r="E67" s="4">
        <v>418</v>
      </c>
      <c r="F67" s="4">
        <v>2179</v>
      </c>
      <c r="G67" s="4">
        <v>0</v>
      </c>
      <c r="H67" s="4">
        <v>0</v>
      </c>
      <c r="I67" s="4">
        <v>0</v>
      </c>
      <c r="J67" s="4">
        <v>0</v>
      </c>
      <c r="K67" s="4">
        <v>0</v>
      </c>
      <c r="L67" s="4">
        <v>0</v>
      </c>
      <c r="M67" s="4">
        <v>0</v>
      </c>
      <c r="O67" t="s">
        <v>71</v>
      </c>
      <c r="P67" t="s">
        <v>298</v>
      </c>
      <c r="Q67" t="s">
        <v>299</v>
      </c>
      <c r="R67" t="s">
        <v>505</v>
      </c>
      <c r="S67" t="s">
        <v>506</v>
      </c>
      <c r="T67" t="s">
        <v>302</v>
      </c>
      <c r="U67" t="s">
        <v>507</v>
      </c>
      <c r="V67" t="s">
        <v>222</v>
      </c>
      <c r="W67" t="s">
        <v>223</v>
      </c>
      <c r="X67" t="s">
        <v>224</v>
      </c>
      <c r="Y67" t="s">
        <v>225</v>
      </c>
      <c r="Z67" t="s">
        <v>226</v>
      </c>
      <c r="AA67" t="s">
        <v>227</v>
      </c>
      <c r="AB67" t="s">
        <v>228</v>
      </c>
      <c r="AD67" t="s">
        <v>508</v>
      </c>
    </row>
    <row r="68" spans="1:30">
      <c r="A68">
        <v>19000</v>
      </c>
      <c r="B68" s="4">
        <v>337</v>
      </c>
      <c r="C68" s="4">
        <v>2179</v>
      </c>
      <c r="D68" s="4">
        <v>2912</v>
      </c>
      <c r="E68" s="4">
        <v>409</v>
      </c>
      <c r="F68" s="4">
        <v>2349</v>
      </c>
      <c r="G68" s="4">
        <v>0</v>
      </c>
      <c r="H68" s="4">
        <v>0</v>
      </c>
      <c r="I68" s="4">
        <v>0</v>
      </c>
      <c r="J68" s="4">
        <v>0</v>
      </c>
      <c r="K68" s="4">
        <v>0</v>
      </c>
      <c r="L68" s="4">
        <v>0</v>
      </c>
      <c r="M68" s="4">
        <v>0</v>
      </c>
      <c r="O68" t="s">
        <v>71</v>
      </c>
      <c r="P68" t="s">
        <v>305</v>
      </c>
      <c r="Q68" t="s">
        <v>306</v>
      </c>
      <c r="R68" t="s">
        <v>509</v>
      </c>
      <c r="S68" t="s">
        <v>510</v>
      </c>
      <c r="T68" t="s">
        <v>309</v>
      </c>
      <c r="U68" t="s">
        <v>511</v>
      </c>
      <c r="V68" t="s">
        <v>222</v>
      </c>
      <c r="W68" t="s">
        <v>223</v>
      </c>
      <c r="X68" t="s">
        <v>224</v>
      </c>
      <c r="Y68" t="s">
        <v>225</v>
      </c>
      <c r="Z68" t="s">
        <v>226</v>
      </c>
      <c r="AA68" t="s">
        <v>227</v>
      </c>
      <c r="AB68" t="s">
        <v>228</v>
      </c>
      <c r="AD68" t="s">
        <v>512</v>
      </c>
    </row>
    <row r="69" spans="1:30">
      <c r="A69">
        <v>17000</v>
      </c>
      <c r="B69" s="4">
        <v>327</v>
      </c>
      <c r="C69" s="4">
        <v>2287</v>
      </c>
      <c r="D69" s="4">
        <v>3098</v>
      </c>
      <c r="E69" s="4">
        <v>398</v>
      </c>
      <c r="F69" s="4">
        <v>2524</v>
      </c>
      <c r="G69" s="4">
        <v>0</v>
      </c>
      <c r="H69" s="4">
        <v>0</v>
      </c>
      <c r="I69" s="4">
        <v>0</v>
      </c>
      <c r="J69" s="4">
        <v>0</v>
      </c>
      <c r="K69" s="4">
        <v>0</v>
      </c>
      <c r="L69" s="4">
        <v>0</v>
      </c>
      <c r="M69" s="4">
        <v>0</v>
      </c>
      <c r="O69" t="s">
        <v>71</v>
      </c>
      <c r="P69" t="s">
        <v>312</v>
      </c>
      <c r="Q69" t="s">
        <v>313</v>
      </c>
      <c r="R69" t="s">
        <v>513</v>
      </c>
      <c r="S69" t="s">
        <v>437</v>
      </c>
      <c r="T69" t="s">
        <v>316</v>
      </c>
      <c r="U69" t="s">
        <v>514</v>
      </c>
      <c r="V69" t="s">
        <v>222</v>
      </c>
      <c r="W69" t="s">
        <v>223</v>
      </c>
      <c r="X69" t="s">
        <v>224</v>
      </c>
      <c r="Y69" t="s">
        <v>225</v>
      </c>
      <c r="Z69" t="s">
        <v>226</v>
      </c>
      <c r="AA69" t="s">
        <v>227</v>
      </c>
      <c r="AB69" t="s">
        <v>228</v>
      </c>
      <c r="AD69" t="s">
        <v>515</v>
      </c>
    </row>
    <row r="70" spans="1:30">
      <c r="A70">
        <v>15000</v>
      </c>
      <c r="B70" s="4">
        <v>317</v>
      </c>
      <c r="C70" s="4">
        <v>2397</v>
      </c>
      <c r="D70" s="4">
        <v>3281</v>
      </c>
      <c r="E70" s="4">
        <v>385</v>
      </c>
      <c r="F70" s="4">
        <v>2702</v>
      </c>
      <c r="G70" s="4">
        <v>0</v>
      </c>
      <c r="H70" s="4">
        <v>0</v>
      </c>
      <c r="I70" s="4">
        <v>0</v>
      </c>
      <c r="J70" s="4">
        <v>0</v>
      </c>
      <c r="K70" s="4">
        <v>0</v>
      </c>
      <c r="L70" s="4">
        <v>0</v>
      </c>
      <c r="M70" s="4">
        <v>0</v>
      </c>
      <c r="O70" t="s">
        <v>71</v>
      </c>
      <c r="P70" t="s">
        <v>319</v>
      </c>
      <c r="Q70" t="s">
        <v>320</v>
      </c>
      <c r="R70" t="s">
        <v>516</v>
      </c>
      <c r="S70" t="s">
        <v>517</v>
      </c>
      <c r="T70" t="s">
        <v>323</v>
      </c>
      <c r="U70" t="s">
        <v>518</v>
      </c>
      <c r="V70" t="s">
        <v>222</v>
      </c>
      <c r="W70" t="s">
        <v>223</v>
      </c>
      <c r="X70" t="s">
        <v>224</v>
      </c>
      <c r="Y70" t="s">
        <v>225</v>
      </c>
      <c r="Z70" t="s">
        <v>226</v>
      </c>
      <c r="AA70" t="s">
        <v>227</v>
      </c>
      <c r="AB70" t="s">
        <v>228</v>
      </c>
      <c r="AD70" t="s">
        <v>519</v>
      </c>
    </row>
    <row r="71" spans="1:30">
      <c r="A71">
        <v>13000</v>
      </c>
      <c r="B71" s="4">
        <v>307</v>
      </c>
      <c r="C71" s="4">
        <v>2508</v>
      </c>
      <c r="D71" s="4">
        <v>3463</v>
      </c>
      <c r="E71" s="4">
        <v>371</v>
      </c>
      <c r="F71" s="4">
        <v>2883</v>
      </c>
      <c r="G71" s="4">
        <v>0</v>
      </c>
      <c r="H71" s="4">
        <v>0</v>
      </c>
      <c r="I71" s="4">
        <v>0</v>
      </c>
      <c r="J71" s="4">
        <v>0</v>
      </c>
      <c r="K71" s="4">
        <v>0</v>
      </c>
      <c r="L71" s="4">
        <v>0</v>
      </c>
      <c r="M71" s="4">
        <v>0</v>
      </c>
      <c r="O71" t="s">
        <v>71</v>
      </c>
      <c r="P71" t="s">
        <v>326</v>
      </c>
      <c r="Q71" t="s">
        <v>327</v>
      </c>
      <c r="R71" t="s">
        <v>520</v>
      </c>
      <c r="S71" t="s">
        <v>453</v>
      </c>
      <c r="T71" t="s">
        <v>330</v>
      </c>
      <c r="U71" t="s">
        <v>521</v>
      </c>
      <c r="V71" t="s">
        <v>222</v>
      </c>
      <c r="W71" t="s">
        <v>223</v>
      </c>
      <c r="X71" t="s">
        <v>224</v>
      </c>
      <c r="Y71" t="s">
        <v>225</v>
      </c>
      <c r="Z71" t="s">
        <v>226</v>
      </c>
      <c r="AA71" t="s">
        <v>227</v>
      </c>
      <c r="AB71" t="s">
        <v>228</v>
      </c>
      <c r="AD71" t="s">
        <v>522</v>
      </c>
    </row>
    <row r="72" spans="1:30">
      <c r="A72">
        <v>11000</v>
      </c>
      <c r="B72" s="4">
        <v>298</v>
      </c>
      <c r="C72" s="4">
        <v>2622</v>
      </c>
      <c r="D72" s="4">
        <v>3643</v>
      </c>
      <c r="E72" s="4">
        <v>355</v>
      </c>
      <c r="F72" s="4">
        <v>3064</v>
      </c>
      <c r="G72" s="4">
        <v>0</v>
      </c>
      <c r="H72" s="4">
        <v>0</v>
      </c>
      <c r="I72" s="4">
        <v>0</v>
      </c>
      <c r="J72" s="4">
        <v>0</v>
      </c>
      <c r="K72" s="4">
        <v>0</v>
      </c>
      <c r="L72" s="4">
        <v>0</v>
      </c>
      <c r="M72" s="4">
        <v>0</v>
      </c>
      <c r="O72" t="s">
        <v>71</v>
      </c>
      <c r="P72" t="s">
        <v>333</v>
      </c>
      <c r="Q72" t="s">
        <v>334</v>
      </c>
      <c r="R72" t="s">
        <v>523</v>
      </c>
      <c r="S72" t="s">
        <v>524</v>
      </c>
      <c r="T72" t="s">
        <v>337</v>
      </c>
      <c r="U72" t="s">
        <v>525</v>
      </c>
      <c r="V72" t="s">
        <v>222</v>
      </c>
      <c r="W72" t="s">
        <v>223</v>
      </c>
      <c r="X72" t="s">
        <v>224</v>
      </c>
      <c r="Y72" t="s">
        <v>225</v>
      </c>
      <c r="Z72" t="s">
        <v>226</v>
      </c>
      <c r="AA72" t="s">
        <v>227</v>
      </c>
      <c r="AB72" t="s">
        <v>228</v>
      </c>
      <c r="AD72" t="s">
        <v>526</v>
      </c>
    </row>
    <row r="73" spans="1:30">
      <c r="A73">
        <v>9000</v>
      </c>
      <c r="B73" s="4">
        <v>289</v>
      </c>
      <c r="C73" s="4">
        <v>2737</v>
      </c>
      <c r="D73" s="4">
        <v>3821</v>
      </c>
      <c r="E73" s="4">
        <v>337</v>
      </c>
      <c r="F73" s="4">
        <v>3244</v>
      </c>
      <c r="G73" s="4">
        <v>0</v>
      </c>
      <c r="H73" s="4">
        <v>0</v>
      </c>
      <c r="I73" s="4">
        <v>0</v>
      </c>
      <c r="J73" s="4">
        <v>0</v>
      </c>
      <c r="K73" s="4">
        <v>0</v>
      </c>
      <c r="L73" s="4">
        <v>0</v>
      </c>
      <c r="M73" s="4">
        <v>0</v>
      </c>
      <c r="N73" s="5"/>
      <c r="O73" t="s">
        <v>71</v>
      </c>
      <c r="P73" t="s">
        <v>340</v>
      </c>
      <c r="Q73" t="s">
        <v>341</v>
      </c>
      <c r="R73" t="s">
        <v>527</v>
      </c>
      <c r="S73" t="s">
        <v>528</v>
      </c>
      <c r="T73" t="s">
        <v>344</v>
      </c>
      <c r="U73" t="s">
        <v>529</v>
      </c>
      <c r="V73" t="s">
        <v>222</v>
      </c>
      <c r="W73" t="s">
        <v>223</v>
      </c>
      <c r="X73" t="s">
        <v>224</v>
      </c>
      <c r="Y73" t="s">
        <v>225</v>
      </c>
      <c r="Z73" t="s">
        <v>226</v>
      </c>
      <c r="AA73" t="s">
        <v>227</v>
      </c>
      <c r="AB73" t="s">
        <v>228</v>
      </c>
      <c r="AD73" t="s">
        <v>530</v>
      </c>
    </row>
    <row r="74" spans="1:30">
      <c r="A74">
        <v>7000</v>
      </c>
      <c r="B74" s="4">
        <v>281</v>
      </c>
      <c r="C74" s="4">
        <v>2855</v>
      </c>
      <c r="D74" s="4">
        <v>3997</v>
      </c>
      <c r="E74" s="4">
        <v>316</v>
      </c>
      <c r="F74" s="4">
        <v>3422</v>
      </c>
      <c r="G74" s="4">
        <v>0</v>
      </c>
      <c r="H74" s="4">
        <v>0</v>
      </c>
      <c r="I74" s="4">
        <v>0</v>
      </c>
      <c r="J74" s="4">
        <v>0</v>
      </c>
      <c r="K74" s="4">
        <v>0</v>
      </c>
      <c r="L74" s="4">
        <v>0</v>
      </c>
      <c r="M74" s="4">
        <v>0</v>
      </c>
      <c r="N74" s="5"/>
      <c r="O74" t="s">
        <v>71</v>
      </c>
      <c r="P74" t="s">
        <v>347</v>
      </c>
      <c r="Q74" t="s">
        <v>348</v>
      </c>
      <c r="R74" t="s">
        <v>531</v>
      </c>
      <c r="S74" t="s">
        <v>532</v>
      </c>
      <c r="T74" t="s">
        <v>351</v>
      </c>
      <c r="U74" t="s">
        <v>533</v>
      </c>
      <c r="V74" t="s">
        <v>222</v>
      </c>
      <c r="W74" t="s">
        <v>223</v>
      </c>
      <c r="X74" t="s">
        <v>224</v>
      </c>
      <c r="Y74" t="s">
        <v>225</v>
      </c>
      <c r="Z74" t="s">
        <v>226</v>
      </c>
      <c r="AA74" t="s">
        <v>227</v>
      </c>
      <c r="AB74" t="s">
        <v>228</v>
      </c>
      <c r="AD74" t="s">
        <v>534</v>
      </c>
    </row>
    <row r="75" spans="1:30">
      <c r="A75">
        <v>5000</v>
      </c>
      <c r="B75" s="4">
        <v>273</v>
      </c>
      <c r="C75" s="4">
        <v>2974</v>
      </c>
      <c r="D75" s="4">
        <v>4172</v>
      </c>
      <c r="E75" s="4">
        <v>294</v>
      </c>
      <c r="F75" s="4">
        <v>3595</v>
      </c>
      <c r="G75" s="4">
        <v>0</v>
      </c>
      <c r="H75" s="4">
        <v>0</v>
      </c>
      <c r="I75" s="4">
        <v>0</v>
      </c>
      <c r="J75" s="4">
        <v>0</v>
      </c>
      <c r="K75" s="4">
        <v>0</v>
      </c>
      <c r="L75" s="4">
        <v>0</v>
      </c>
      <c r="M75" s="4">
        <v>0</v>
      </c>
      <c r="N75" s="3"/>
      <c r="O75" t="s">
        <v>71</v>
      </c>
      <c r="P75" t="s">
        <v>354</v>
      </c>
      <c r="Q75" t="s">
        <v>355</v>
      </c>
      <c r="R75" t="s">
        <v>535</v>
      </c>
      <c r="S75" t="s">
        <v>536</v>
      </c>
      <c r="T75" t="s">
        <v>358</v>
      </c>
      <c r="U75" t="s">
        <v>537</v>
      </c>
      <c r="V75" t="s">
        <v>222</v>
      </c>
      <c r="W75" t="s">
        <v>223</v>
      </c>
      <c r="X75" t="s">
        <v>224</v>
      </c>
      <c r="Y75" t="s">
        <v>225</v>
      </c>
      <c r="Z75" t="s">
        <v>226</v>
      </c>
      <c r="AA75" t="s">
        <v>227</v>
      </c>
      <c r="AB75" t="s">
        <v>228</v>
      </c>
      <c r="AD75" t="s">
        <v>538</v>
      </c>
    </row>
    <row r="76" spans="1:30">
      <c r="A76">
        <v>3000</v>
      </c>
      <c r="B76" s="4">
        <v>265</v>
      </c>
      <c r="C76" s="4">
        <v>3095</v>
      </c>
      <c r="D76" s="4">
        <v>4344</v>
      </c>
      <c r="E76" s="4">
        <v>269</v>
      </c>
      <c r="F76" s="4">
        <v>3763</v>
      </c>
      <c r="G76" s="4">
        <v>0</v>
      </c>
      <c r="H76" s="4">
        <v>0</v>
      </c>
      <c r="I76" s="4">
        <v>0</v>
      </c>
      <c r="J76" s="4">
        <v>0</v>
      </c>
      <c r="K76" s="4">
        <v>0</v>
      </c>
      <c r="L76" s="4">
        <v>0</v>
      </c>
      <c r="M76" s="4">
        <v>0</v>
      </c>
      <c r="N76" s="5"/>
      <c r="O76" t="s">
        <v>71</v>
      </c>
      <c r="P76" t="s">
        <v>361</v>
      </c>
      <c r="Q76" t="s">
        <v>362</v>
      </c>
      <c r="R76" t="s">
        <v>539</v>
      </c>
      <c r="S76" t="s">
        <v>540</v>
      </c>
      <c r="T76" t="s">
        <v>365</v>
      </c>
      <c r="U76" t="s">
        <v>541</v>
      </c>
      <c r="V76" t="s">
        <v>222</v>
      </c>
      <c r="W76" t="s">
        <v>223</v>
      </c>
      <c r="X76" t="s">
        <v>224</v>
      </c>
      <c r="Y76" t="s">
        <v>225</v>
      </c>
      <c r="Z76" t="s">
        <v>226</v>
      </c>
      <c r="AA76" t="s">
        <v>227</v>
      </c>
      <c r="AB76" t="s">
        <v>228</v>
      </c>
      <c r="AD76" t="s">
        <v>542</v>
      </c>
    </row>
    <row r="77" spans="1:30">
      <c r="A77">
        <v>1000</v>
      </c>
      <c r="B77" s="4">
        <v>257</v>
      </c>
      <c r="C77" s="4">
        <v>3219</v>
      </c>
      <c r="D77" s="4">
        <v>4515</v>
      </c>
      <c r="E77" s="4">
        <v>242</v>
      </c>
      <c r="F77" s="4">
        <v>3923</v>
      </c>
      <c r="G77" s="4">
        <v>0</v>
      </c>
      <c r="H77" s="4">
        <v>0</v>
      </c>
      <c r="I77" s="4">
        <v>0</v>
      </c>
      <c r="J77" s="4">
        <v>0</v>
      </c>
      <c r="K77" s="4">
        <v>0</v>
      </c>
      <c r="L77" s="4">
        <v>0</v>
      </c>
      <c r="M77" s="4">
        <v>0</v>
      </c>
      <c r="N77" s="3"/>
      <c r="O77" t="s">
        <v>71</v>
      </c>
      <c r="P77" t="s">
        <v>368</v>
      </c>
      <c r="Q77" t="s">
        <v>369</v>
      </c>
      <c r="R77" t="s">
        <v>543</v>
      </c>
      <c r="S77" t="s">
        <v>544</v>
      </c>
      <c r="T77" t="s">
        <v>372</v>
      </c>
      <c r="U77" t="s">
        <v>545</v>
      </c>
      <c r="V77" t="s">
        <v>222</v>
      </c>
      <c r="W77" t="s">
        <v>223</v>
      </c>
      <c r="X77" t="s">
        <v>224</v>
      </c>
      <c r="Y77" t="s">
        <v>225</v>
      </c>
      <c r="Z77" t="s">
        <v>226</v>
      </c>
      <c r="AA77" t="s">
        <v>227</v>
      </c>
      <c r="AB77" t="s">
        <v>374</v>
      </c>
      <c r="AD77" t="s">
        <v>546</v>
      </c>
    </row>
    <row r="79" spans="1:30">
      <c r="A79" t="s">
        <v>165</v>
      </c>
      <c r="B79" t="s">
        <v>547</v>
      </c>
    </row>
    <row r="80" spans="1:30">
      <c r="A80" t="s">
        <v>177</v>
      </c>
      <c r="B80" t="s">
        <v>42</v>
      </c>
      <c r="C80" t="s">
        <v>43</v>
      </c>
      <c r="D80" t="s">
        <v>48</v>
      </c>
      <c r="E80" t="s">
        <v>51</v>
      </c>
      <c r="F80" t="s">
        <v>59</v>
      </c>
      <c r="G80" t="s">
        <v>178</v>
      </c>
      <c r="H80" t="s">
        <v>179</v>
      </c>
      <c r="I80" t="s">
        <v>52</v>
      </c>
      <c r="J80" t="s">
        <v>44</v>
      </c>
      <c r="K80" t="s">
        <v>180</v>
      </c>
      <c r="L80" t="s">
        <v>181</v>
      </c>
      <c r="M80" t="s">
        <v>62</v>
      </c>
    </row>
    <row r="81" spans="1:30">
      <c r="A81">
        <v>45000</v>
      </c>
      <c r="B81" s="4">
        <v>410</v>
      </c>
      <c r="C81" s="4">
        <v>1412</v>
      </c>
      <c r="D81" s="4">
        <v>203</v>
      </c>
      <c r="E81" s="4">
        <v>434</v>
      </c>
      <c r="F81" s="4">
        <v>1262</v>
      </c>
      <c r="G81" s="4">
        <v>0</v>
      </c>
      <c r="H81" s="4">
        <v>0</v>
      </c>
      <c r="I81" s="4">
        <v>0</v>
      </c>
      <c r="J81" s="4">
        <v>0</v>
      </c>
      <c r="K81" s="4">
        <v>0</v>
      </c>
      <c r="L81" s="4">
        <v>0</v>
      </c>
      <c r="M81" s="4">
        <v>0</v>
      </c>
      <c r="O81" t="s">
        <v>182</v>
      </c>
      <c r="P81" t="s">
        <v>216</v>
      </c>
      <c r="Q81" t="s">
        <v>217</v>
      </c>
      <c r="R81" t="s">
        <v>548</v>
      </c>
      <c r="S81" t="s">
        <v>549</v>
      </c>
      <c r="T81" t="s">
        <v>220</v>
      </c>
      <c r="U81" t="s">
        <v>550</v>
      </c>
      <c r="V81" t="s">
        <v>222</v>
      </c>
      <c r="W81" t="s">
        <v>223</v>
      </c>
      <c r="X81" t="s">
        <v>224</v>
      </c>
      <c r="Y81" t="s">
        <v>225</v>
      </c>
      <c r="Z81" t="s">
        <v>226</v>
      </c>
      <c r="AA81" t="s">
        <v>227</v>
      </c>
      <c r="AB81" t="s">
        <v>228</v>
      </c>
      <c r="AD81" t="s">
        <v>551</v>
      </c>
    </row>
    <row r="82" spans="1:30">
      <c r="A82">
        <v>43000</v>
      </c>
      <c r="B82" s="4">
        <v>410</v>
      </c>
      <c r="C82" s="4">
        <v>1473</v>
      </c>
      <c r="D82" s="4">
        <v>462</v>
      </c>
      <c r="E82" s="4">
        <v>437</v>
      </c>
      <c r="F82" s="4">
        <v>1263</v>
      </c>
      <c r="G82" s="4">
        <v>0</v>
      </c>
      <c r="H82" s="4">
        <v>0</v>
      </c>
      <c r="I82" s="4">
        <v>0</v>
      </c>
      <c r="J82" s="4">
        <v>0</v>
      </c>
      <c r="K82" s="4">
        <v>0</v>
      </c>
      <c r="L82" s="4">
        <v>0</v>
      </c>
      <c r="M82" s="4">
        <v>0</v>
      </c>
      <c r="O82" t="s">
        <v>71</v>
      </c>
      <c r="P82" t="s">
        <v>230</v>
      </c>
      <c r="Q82" t="s">
        <v>217</v>
      </c>
      <c r="R82" t="s">
        <v>552</v>
      </c>
      <c r="S82" t="s">
        <v>553</v>
      </c>
      <c r="T82" t="s">
        <v>232</v>
      </c>
      <c r="U82" t="s">
        <v>554</v>
      </c>
      <c r="V82" t="s">
        <v>222</v>
      </c>
      <c r="W82" t="s">
        <v>223</v>
      </c>
      <c r="X82" t="s">
        <v>224</v>
      </c>
      <c r="Y82" t="s">
        <v>225</v>
      </c>
      <c r="Z82" t="s">
        <v>226</v>
      </c>
      <c r="AA82" t="s">
        <v>227</v>
      </c>
      <c r="AB82" t="s">
        <v>228</v>
      </c>
      <c r="AD82" t="s">
        <v>555</v>
      </c>
    </row>
    <row r="83" spans="1:30">
      <c r="A83">
        <v>41000</v>
      </c>
      <c r="B83" s="4">
        <v>410</v>
      </c>
      <c r="C83" s="4">
        <v>1538</v>
      </c>
      <c r="D83" s="4">
        <v>716</v>
      </c>
      <c r="E83" s="4">
        <v>440</v>
      </c>
      <c r="F83" s="4">
        <v>1279</v>
      </c>
      <c r="G83" s="4">
        <v>0</v>
      </c>
      <c r="H83" s="4">
        <v>0</v>
      </c>
      <c r="I83" s="4">
        <v>0</v>
      </c>
      <c r="J83" s="4">
        <v>0</v>
      </c>
      <c r="K83" s="4">
        <v>0</v>
      </c>
      <c r="L83" s="4">
        <v>0</v>
      </c>
      <c r="M83" s="4">
        <v>0</v>
      </c>
      <c r="O83" t="s">
        <v>71</v>
      </c>
      <c r="P83" t="s">
        <v>235</v>
      </c>
      <c r="Q83" t="s">
        <v>217</v>
      </c>
      <c r="R83" t="s">
        <v>556</v>
      </c>
      <c r="S83" t="s">
        <v>557</v>
      </c>
      <c r="T83" t="s">
        <v>238</v>
      </c>
      <c r="U83" t="s">
        <v>558</v>
      </c>
      <c r="V83" t="s">
        <v>222</v>
      </c>
      <c r="W83" t="s">
        <v>223</v>
      </c>
      <c r="X83" t="s">
        <v>224</v>
      </c>
      <c r="Y83" t="s">
        <v>225</v>
      </c>
      <c r="Z83" t="s">
        <v>226</v>
      </c>
      <c r="AA83" t="s">
        <v>227</v>
      </c>
      <c r="AB83" t="s">
        <v>228</v>
      </c>
      <c r="AD83" t="s">
        <v>559</v>
      </c>
    </row>
    <row r="84" spans="1:30">
      <c r="A84">
        <v>39000</v>
      </c>
      <c r="B84" s="4">
        <v>410</v>
      </c>
      <c r="C84" s="4">
        <v>1606</v>
      </c>
      <c r="D84" s="4">
        <v>964</v>
      </c>
      <c r="E84" s="4">
        <v>442</v>
      </c>
      <c r="F84" s="4">
        <v>1311</v>
      </c>
      <c r="G84" s="4">
        <v>0</v>
      </c>
      <c r="H84" s="4">
        <v>0</v>
      </c>
      <c r="I84" s="4">
        <v>0</v>
      </c>
      <c r="J84" s="4">
        <v>0</v>
      </c>
      <c r="K84" s="4">
        <v>0</v>
      </c>
      <c r="L84" s="4">
        <v>0</v>
      </c>
      <c r="M84" s="4">
        <v>0</v>
      </c>
      <c r="O84" t="s">
        <v>71</v>
      </c>
      <c r="P84" t="s">
        <v>241</v>
      </c>
      <c r="Q84" t="s">
        <v>217</v>
      </c>
      <c r="R84" t="s">
        <v>560</v>
      </c>
      <c r="S84" t="s">
        <v>561</v>
      </c>
      <c r="T84" t="s">
        <v>244</v>
      </c>
      <c r="U84" t="s">
        <v>562</v>
      </c>
      <c r="V84" t="s">
        <v>222</v>
      </c>
      <c r="W84" t="s">
        <v>223</v>
      </c>
      <c r="X84" t="s">
        <v>224</v>
      </c>
      <c r="Y84" t="s">
        <v>225</v>
      </c>
      <c r="Z84" t="s">
        <v>226</v>
      </c>
      <c r="AA84" t="s">
        <v>227</v>
      </c>
      <c r="AB84" t="s">
        <v>228</v>
      </c>
      <c r="AD84" t="s">
        <v>563</v>
      </c>
    </row>
    <row r="85" spans="1:30">
      <c r="A85">
        <v>37000</v>
      </c>
      <c r="B85" s="4">
        <v>410</v>
      </c>
      <c r="C85" s="4">
        <v>1678</v>
      </c>
      <c r="D85" s="4">
        <v>1205</v>
      </c>
      <c r="E85" s="4">
        <v>444</v>
      </c>
      <c r="F85" s="4">
        <v>1357</v>
      </c>
      <c r="G85" s="4">
        <v>0</v>
      </c>
      <c r="H85" s="4">
        <v>0</v>
      </c>
      <c r="I85" s="4">
        <v>0</v>
      </c>
      <c r="J85" s="4">
        <v>0</v>
      </c>
      <c r="K85" s="4">
        <v>0</v>
      </c>
      <c r="L85" s="4">
        <v>0</v>
      </c>
      <c r="M85" s="4">
        <v>0</v>
      </c>
      <c r="O85" t="s">
        <v>71</v>
      </c>
      <c r="P85" t="s">
        <v>247</v>
      </c>
      <c r="Q85" t="s">
        <v>217</v>
      </c>
      <c r="R85" t="s">
        <v>564</v>
      </c>
      <c r="S85" t="s">
        <v>565</v>
      </c>
      <c r="T85" t="s">
        <v>250</v>
      </c>
      <c r="U85" t="s">
        <v>566</v>
      </c>
      <c r="V85" t="s">
        <v>222</v>
      </c>
      <c r="W85" t="s">
        <v>223</v>
      </c>
      <c r="X85" t="s">
        <v>224</v>
      </c>
      <c r="Y85" t="s">
        <v>225</v>
      </c>
      <c r="Z85" t="s">
        <v>226</v>
      </c>
      <c r="AA85" t="s">
        <v>227</v>
      </c>
      <c r="AB85" t="s">
        <v>228</v>
      </c>
      <c r="AD85" t="s">
        <v>567</v>
      </c>
    </row>
    <row r="86" spans="1:30">
      <c r="A86">
        <v>35000</v>
      </c>
      <c r="B86" s="4">
        <v>412</v>
      </c>
      <c r="C86" s="4">
        <v>1754</v>
      </c>
      <c r="D86" s="4">
        <v>1440</v>
      </c>
      <c r="E86" s="4">
        <v>444</v>
      </c>
      <c r="F86" s="4">
        <v>1420</v>
      </c>
      <c r="G86" s="4">
        <v>0</v>
      </c>
      <c r="H86" s="4">
        <v>0</v>
      </c>
      <c r="I86" s="4">
        <v>0</v>
      </c>
      <c r="J86" s="4">
        <v>0</v>
      </c>
      <c r="K86" s="4">
        <v>0</v>
      </c>
      <c r="L86" s="4">
        <v>0</v>
      </c>
      <c r="M86" s="4">
        <v>0</v>
      </c>
      <c r="O86" t="s">
        <v>71</v>
      </c>
      <c r="P86" t="s">
        <v>253</v>
      </c>
      <c r="Q86" t="s">
        <v>254</v>
      </c>
      <c r="R86" t="s">
        <v>568</v>
      </c>
      <c r="S86" t="s">
        <v>569</v>
      </c>
      <c r="T86" t="s">
        <v>250</v>
      </c>
      <c r="U86" t="s">
        <v>570</v>
      </c>
      <c r="V86" t="s">
        <v>222</v>
      </c>
      <c r="W86" t="s">
        <v>223</v>
      </c>
      <c r="X86" t="s">
        <v>224</v>
      </c>
      <c r="Y86" t="s">
        <v>225</v>
      </c>
      <c r="Z86" t="s">
        <v>226</v>
      </c>
      <c r="AA86" t="s">
        <v>227</v>
      </c>
      <c r="AB86" t="s">
        <v>228</v>
      </c>
      <c r="AD86" t="s">
        <v>571</v>
      </c>
    </row>
    <row r="87" spans="1:30">
      <c r="A87">
        <v>33000</v>
      </c>
      <c r="B87" s="4">
        <v>416</v>
      </c>
      <c r="C87" s="4">
        <v>1833</v>
      </c>
      <c r="D87" s="4">
        <v>1668</v>
      </c>
      <c r="E87" s="4">
        <v>444</v>
      </c>
      <c r="F87" s="4">
        <v>1497</v>
      </c>
      <c r="G87" s="4">
        <v>0</v>
      </c>
      <c r="H87" s="4">
        <v>0</v>
      </c>
      <c r="I87" s="4">
        <v>0</v>
      </c>
      <c r="J87" s="4">
        <v>0</v>
      </c>
      <c r="K87" s="4">
        <v>0</v>
      </c>
      <c r="L87" s="4">
        <v>0</v>
      </c>
      <c r="M87" s="4">
        <v>0</v>
      </c>
      <c r="O87" t="s">
        <v>71</v>
      </c>
      <c r="P87" t="s">
        <v>259</v>
      </c>
      <c r="Q87" t="s">
        <v>260</v>
      </c>
      <c r="R87" t="s">
        <v>572</v>
      </c>
      <c r="S87" t="s">
        <v>573</v>
      </c>
      <c r="T87" t="s">
        <v>250</v>
      </c>
      <c r="U87" t="s">
        <v>574</v>
      </c>
      <c r="V87" t="s">
        <v>222</v>
      </c>
      <c r="W87" t="s">
        <v>223</v>
      </c>
      <c r="X87" t="s">
        <v>224</v>
      </c>
      <c r="Y87" t="s">
        <v>225</v>
      </c>
      <c r="Z87" t="s">
        <v>226</v>
      </c>
      <c r="AA87" t="s">
        <v>227</v>
      </c>
      <c r="AB87" t="s">
        <v>228</v>
      </c>
      <c r="AD87" t="s">
        <v>575</v>
      </c>
    </row>
    <row r="88" spans="1:30">
      <c r="A88">
        <v>31000</v>
      </c>
      <c r="B88" s="4">
        <v>408</v>
      </c>
      <c r="C88" s="4">
        <v>1916</v>
      </c>
      <c r="D88" s="4">
        <v>1891</v>
      </c>
      <c r="E88" s="4">
        <v>443</v>
      </c>
      <c r="F88" s="4">
        <v>1590</v>
      </c>
      <c r="G88" s="4">
        <v>0</v>
      </c>
      <c r="H88" s="4">
        <v>0</v>
      </c>
      <c r="I88" s="4">
        <v>0</v>
      </c>
      <c r="J88" s="4">
        <v>0</v>
      </c>
      <c r="K88" s="4">
        <v>0</v>
      </c>
      <c r="L88" s="4">
        <v>0</v>
      </c>
      <c r="M88" s="4">
        <v>0</v>
      </c>
      <c r="O88" t="s">
        <v>71</v>
      </c>
      <c r="P88" t="s">
        <v>265</v>
      </c>
      <c r="Q88" t="s">
        <v>266</v>
      </c>
      <c r="R88" t="s">
        <v>576</v>
      </c>
      <c r="S88" t="s">
        <v>577</v>
      </c>
      <c r="T88" t="s">
        <v>269</v>
      </c>
      <c r="U88" t="s">
        <v>578</v>
      </c>
      <c r="V88" t="s">
        <v>222</v>
      </c>
      <c r="W88" t="s">
        <v>223</v>
      </c>
      <c r="X88" t="s">
        <v>224</v>
      </c>
      <c r="Y88" t="s">
        <v>225</v>
      </c>
      <c r="Z88" t="s">
        <v>226</v>
      </c>
      <c r="AA88" t="s">
        <v>227</v>
      </c>
      <c r="AB88" t="s">
        <v>228</v>
      </c>
      <c r="AD88" t="s">
        <v>579</v>
      </c>
    </row>
    <row r="89" spans="1:30">
      <c r="A89">
        <v>29000</v>
      </c>
      <c r="B89" s="4">
        <v>395</v>
      </c>
      <c r="C89" s="4">
        <v>2002</v>
      </c>
      <c r="D89" s="4">
        <v>2107</v>
      </c>
      <c r="E89" s="4">
        <v>440</v>
      </c>
      <c r="F89" s="4">
        <v>1699</v>
      </c>
      <c r="G89" s="4">
        <v>0</v>
      </c>
      <c r="H89" s="4">
        <v>0</v>
      </c>
      <c r="I89" s="4">
        <v>0</v>
      </c>
      <c r="J89" s="4">
        <v>0</v>
      </c>
      <c r="K89" s="4">
        <v>0</v>
      </c>
      <c r="L89" s="4">
        <v>0</v>
      </c>
      <c r="M89" s="4">
        <v>0</v>
      </c>
      <c r="O89" t="s">
        <v>71</v>
      </c>
      <c r="P89" t="s">
        <v>272</v>
      </c>
      <c r="Q89" t="s">
        <v>273</v>
      </c>
      <c r="R89" t="s">
        <v>580</v>
      </c>
      <c r="S89" t="s">
        <v>581</v>
      </c>
      <c r="T89" t="s">
        <v>238</v>
      </c>
      <c r="U89" t="s">
        <v>582</v>
      </c>
      <c r="V89" t="s">
        <v>222</v>
      </c>
      <c r="W89" t="s">
        <v>223</v>
      </c>
      <c r="X89" t="s">
        <v>224</v>
      </c>
      <c r="Y89" t="s">
        <v>225</v>
      </c>
      <c r="Z89" t="s">
        <v>226</v>
      </c>
      <c r="AA89" t="s">
        <v>227</v>
      </c>
      <c r="AB89" t="s">
        <v>228</v>
      </c>
      <c r="AD89" t="s">
        <v>583</v>
      </c>
    </row>
    <row r="90" spans="1:30">
      <c r="A90">
        <v>27000</v>
      </c>
      <c r="B90" s="4">
        <v>383</v>
      </c>
      <c r="C90" s="4">
        <v>2093</v>
      </c>
      <c r="D90" s="4">
        <v>2316</v>
      </c>
      <c r="E90" s="4">
        <v>437</v>
      </c>
      <c r="F90" s="4">
        <v>1822</v>
      </c>
      <c r="G90" s="4">
        <v>0</v>
      </c>
      <c r="H90" s="4">
        <v>0</v>
      </c>
      <c r="I90" s="4">
        <v>0</v>
      </c>
      <c r="J90" s="4">
        <v>0</v>
      </c>
      <c r="K90" s="4">
        <v>0</v>
      </c>
      <c r="L90" s="4">
        <v>0</v>
      </c>
      <c r="M90" s="4">
        <v>0</v>
      </c>
      <c r="O90" t="s">
        <v>71</v>
      </c>
      <c r="P90" t="s">
        <v>278</v>
      </c>
      <c r="Q90" t="s">
        <v>279</v>
      </c>
      <c r="R90" t="s">
        <v>584</v>
      </c>
      <c r="S90" t="s">
        <v>585</v>
      </c>
      <c r="T90" t="s">
        <v>232</v>
      </c>
      <c r="U90" t="s">
        <v>586</v>
      </c>
      <c r="V90" t="s">
        <v>222</v>
      </c>
      <c r="W90" t="s">
        <v>223</v>
      </c>
      <c r="X90" t="s">
        <v>224</v>
      </c>
      <c r="Y90" t="s">
        <v>225</v>
      </c>
      <c r="Z90" t="s">
        <v>226</v>
      </c>
      <c r="AA90" t="s">
        <v>227</v>
      </c>
      <c r="AB90" t="s">
        <v>228</v>
      </c>
      <c r="AD90" t="s">
        <v>587</v>
      </c>
    </row>
    <row r="91" spans="1:30">
      <c r="A91">
        <v>25000</v>
      </c>
      <c r="B91" s="4">
        <v>370</v>
      </c>
      <c r="C91" s="4">
        <v>2186</v>
      </c>
      <c r="D91" s="4">
        <v>2520</v>
      </c>
      <c r="E91" s="4">
        <v>432</v>
      </c>
      <c r="F91" s="4">
        <v>1961</v>
      </c>
      <c r="G91" s="4">
        <v>0</v>
      </c>
      <c r="H91" s="4">
        <v>0</v>
      </c>
      <c r="I91" s="4">
        <v>0</v>
      </c>
      <c r="J91" s="4">
        <v>0</v>
      </c>
      <c r="K91" s="4">
        <v>0</v>
      </c>
      <c r="L91" s="4">
        <v>0</v>
      </c>
      <c r="M91" s="4">
        <v>0</v>
      </c>
      <c r="O91" t="s">
        <v>71</v>
      </c>
      <c r="P91" t="s">
        <v>284</v>
      </c>
      <c r="Q91" t="s">
        <v>285</v>
      </c>
      <c r="R91" t="s">
        <v>588</v>
      </c>
      <c r="S91" t="s">
        <v>589</v>
      </c>
      <c r="T91" t="s">
        <v>288</v>
      </c>
      <c r="U91" t="s">
        <v>590</v>
      </c>
      <c r="V91" t="s">
        <v>222</v>
      </c>
      <c r="W91" t="s">
        <v>223</v>
      </c>
      <c r="X91" t="s">
        <v>224</v>
      </c>
      <c r="Y91" t="s">
        <v>225</v>
      </c>
      <c r="Z91" t="s">
        <v>226</v>
      </c>
      <c r="AA91" t="s">
        <v>227</v>
      </c>
      <c r="AB91" t="s">
        <v>228</v>
      </c>
      <c r="AD91" t="s">
        <v>591</v>
      </c>
    </row>
    <row r="92" spans="1:30">
      <c r="A92">
        <v>23000</v>
      </c>
      <c r="B92" s="4">
        <v>359</v>
      </c>
      <c r="C92" s="4">
        <v>2284</v>
      </c>
      <c r="D92" s="4">
        <v>2717</v>
      </c>
      <c r="E92" s="4">
        <v>426</v>
      </c>
      <c r="F92" s="4">
        <v>2116</v>
      </c>
      <c r="G92" s="4">
        <v>0</v>
      </c>
      <c r="H92" s="4">
        <v>0</v>
      </c>
      <c r="I92" s="4">
        <v>0</v>
      </c>
      <c r="J92" s="4">
        <v>0</v>
      </c>
      <c r="K92" s="4">
        <v>0</v>
      </c>
      <c r="L92" s="4">
        <v>0</v>
      </c>
      <c r="M92" s="4">
        <v>0</v>
      </c>
      <c r="O92" t="s">
        <v>71</v>
      </c>
      <c r="P92" t="s">
        <v>291</v>
      </c>
      <c r="Q92" t="s">
        <v>292</v>
      </c>
      <c r="R92" t="s">
        <v>592</v>
      </c>
      <c r="S92" t="s">
        <v>593</v>
      </c>
      <c r="T92" t="s">
        <v>295</v>
      </c>
      <c r="U92" t="s">
        <v>594</v>
      </c>
      <c r="V92" t="s">
        <v>222</v>
      </c>
      <c r="W92" t="s">
        <v>223</v>
      </c>
      <c r="X92" t="s">
        <v>224</v>
      </c>
      <c r="Y92" t="s">
        <v>225</v>
      </c>
      <c r="Z92" t="s">
        <v>226</v>
      </c>
      <c r="AA92" t="s">
        <v>227</v>
      </c>
      <c r="AB92" t="s">
        <v>228</v>
      </c>
      <c r="AD92" t="s">
        <v>595</v>
      </c>
    </row>
    <row r="93" spans="1:30">
      <c r="A93">
        <v>21000</v>
      </c>
      <c r="B93" s="4">
        <v>348</v>
      </c>
      <c r="C93" s="4">
        <v>2384</v>
      </c>
      <c r="D93" s="4">
        <v>2908</v>
      </c>
      <c r="E93" s="4">
        <v>418</v>
      </c>
      <c r="F93" s="4">
        <v>2286</v>
      </c>
      <c r="G93" s="4">
        <v>0</v>
      </c>
      <c r="H93" s="4">
        <v>0</v>
      </c>
      <c r="I93" s="4">
        <v>0</v>
      </c>
      <c r="J93" s="4">
        <v>0</v>
      </c>
      <c r="K93" s="4">
        <v>0</v>
      </c>
      <c r="L93" s="4">
        <v>0</v>
      </c>
      <c r="M93" s="4">
        <v>0</v>
      </c>
      <c r="O93" t="s">
        <v>71</v>
      </c>
      <c r="P93" t="s">
        <v>298</v>
      </c>
      <c r="Q93" t="s">
        <v>299</v>
      </c>
      <c r="R93" t="s">
        <v>596</v>
      </c>
      <c r="S93" t="s">
        <v>597</v>
      </c>
      <c r="T93" t="s">
        <v>302</v>
      </c>
      <c r="U93" t="s">
        <v>598</v>
      </c>
      <c r="V93" t="s">
        <v>222</v>
      </c>
      <c r="W93" t="s">
        <v>223</v>
      </c>
      <c r="X93" t="s">
        <v>224</v>
      </c>
      <c r="Y93" t="s">
        <v>225</v>
      </c>
      <c r="Z93" t="s">
        <v>226</v>
      </c>
      <c r="AA93" t="s">
        <v>227</v>
      </c>
      <c r="AB93" t="s">
        <v>228</v>
      </c>
      <c r="AD93" t="s">
        <v>599</v>
      </c>
    </row>
    <row r="94" spans="1:30">
      <c r="A94">
        <v>19000</v>
      </c>
      <c r="B94" s="4">
        <v>337</v>
      </c>
      <c r="C94" s="4">
        <v>2489</v>
      </c>
      <c r="D94" s="4">
        <v>3093</v>
      </c>
      <c r="E94" s="4">
        <v>409</v>
      </c>
      <c r="F94" s="4">
        <v>2471</v>
      </c>
      <c r="G94" s="4">
        <v>0</v>
      </c>
      <c r="H94" s="4">
        <v>0</v>
      </c>
      <c r="I94" s="4">
        <v>0</v>
      </c>
      <c r="J94" s="4">
        <v>0</v>
      </c>
      <c r="K94" s="4">
        <v>0</v>
      </c>
      <c r="L94" s="4">
        <v>0</v>
      </c>
      <c r="M94" s="4">
        <v>0</v>
      </c>
      <c r="O94" t="s">
        <v>71</v>
      </c>
      <c r="P94" t="s">
        <v>305</v>
      </c>
      <c r="Q94" t="s">
        <v>306</v>
      </c>
      <c r="R94" t="s">
        <v>600</v>
      </c>
      <c r="S94" t="s">
        <v>601</v>
      </c>
      <c r="T94" t="s">
        <v>309</v>
      </c>
      <c r="U94" t="s">
        <v>602</v>
      </c>
      <c r="V94" t="s">
        <v>222</v>
      </c>
      <c r="W94" t="s">
        <v>223</v>
      </c>
      <c r="X94" t="s">
        <v>224</v>
      </c>
      <c r="Y94" t="s">
        <v>225</v>
      </c>
      <c r="Z94" t="s">
        <v>226</v>
      </c>
      <c r="AA94" t="s">
        <v>227</v>
      </c>
      <c r="AB94" t="s">
        <v>228</v>
      </c>
      <c r="AD94" t="s">
        <v>603</v>
      </c>
    </row>
    <row r="95" spans="1:30">
      <c r="A95">
        <v>17000</v>
      </c>
      <c r="B95" s="4">
        <v>327</v>
      </c>
      <c r="C95" s="4">
        <v>2597</v>
      </c>
      <c r="D95" s="4">
        <v>3272</v>
      </c>
      <c r="E95" s="4">
        <v>398</v>
      </c>
      <c r="F95" s="4">
        <v>2672</v>
      </c>
      <c r="G95" s="4">
        <v>0</v>
      </c>
      <c r="H95" s="4">
        <v>0</v>
      </c>
      <c r="I95" s="4">
        <v>0</v>
      </c>
      <c r="J95" s="4">
        <v>0</v>
      </c>
      <c r="K95" s="4">
        <v>0</v>
      </c>
      <c r="L95" s="4">
        <v>0</v>
      </c>
      <c r="M95" s="4">
        <v>0</v>
      </c>
      <c r="O95" t="s">
        <v>71</v>
      </c>
      <c r="P95" t="s">
        <v>312</v>
      </c>
      <c r="Q95" t="s">
        <v>313</v>
      </c>
      <c r="R95" t="s">
        <v>604</v>
      </c>
      <c r="S95" t="s">
        <v>605</v>
      </c>
      <c r="T95" t="s">
        <v>316</v>
      </c>
      <c r="U95" t="s">
        <v>606</v>
      </c>
      <c r="V95" t="s">
        <v>222</v>
      </c>
      <c r="W95" t="s">
        <v>223</v>
      </c>
      <c r="X95" t="s">
        <v>224</v>
      </c>
      <c r="Y95" t="s">
        <v>225</v>
      </c>
      <c r="Z95" t="s">
        <v>226</v>
      </c>
      <c r="AA95" t="s">
        <v>227</v>
      </c>
      <c r="AB95" t="s">
        <v>228</v>
      </c>
      <c r="AD95" t="s">
        <v>607</v>
      </c>
    </row>
    <row r="96" spans="1:30">
      <c r="A96">
        <v>15000</v>
      </c>
      <c r="B96" s="4">
        <v>317</v>
      </c>
      <c r="C96" s="4">
        <v>2709</v>
      </c>
      <c r="D96" s="4">
        <v>3444</v>
      </c>
      <c r="E96" s="4">
        <v>385</v>
      </c>
      <c r="F96" s="4">
        <v>2888</v>
      </c>
      <c r="G96" s="4">
        <v>0</v>
      </c>
      <c r="H96" s="4">
        <v>0</v>
      </c>
      <c r="I96" s="4">
        <v>0</v>
      </c>
      <c r="J96" s="4">
        <v>0</v>
      </c>
      <c r="K96" s="4">
        <v>0</v>
      </c>
      <c r="L96" s="4">
        <v>0</v>
      </c>
      <c r="M96" s="4">
        <v>0</v>
      </c>
      <c r="O96" t="s">
        <v>71</v>
      </c>
      <c r="P96" t="s">
        <v>319</v>
      </c>
      <c r="Q96" t="s">
        <v>320</v>
      </c>
      <c r="R96" t="s">
        <v>608</v>
      </c>
      <c r="S96" t="s">
        <v>609</v>
      </c>
      <c r="T96" t="s">
        <v>323</v>
      </c>
      <c r="U96" t="s">
        <v>610</v>
      </c>
      <c r="V96" t="s">
        <v>222</v>
      </c>
      <c r="W96" t="s">
        <v>223</v>
      </c>
      <c r="X96" t="s">
        <v>224</v>
      </c>
      <c r="Y96" t="s">
        <v>225</v>
      </c>
      <c r="Z96" t="s">
        <v>226</v>
      </c>
      <c r="AA96" t="s">
        <v>227</v>
      </c>
      <c r="AB96" t="s">
        <v>228</v>
      </c>
      <c r="AD96" t="s">
        <v>611</v>
      </c>
    </row>
    <row r="97" spans="1:30">
      <c r="A97">
        <v>13000</v>
      </c>
      <c r="B97" s="4">
        <v>307</v>
      </c>
      <c r="C97" s="4">
        <v>2824</v>
      </c>
      <c r="D97" s="4">
        <v>3610</v>
      </c>
      <c r="E97" s="4">
        <v>371</v>
      </c>
      <c r="F97" s="4">
        <v>3120</v>
      </c>
      <c r="G97" s="4">
        <v>0</v>
      </c>
      <c r="H97" s="4">
        <v>0</v>
      </c>
      <c r="I97" s="4">
        <v>0</v>
      </c>
      <c r="J97" s="4">
        <v>0</v>
      </c>
      <c r="K97" s="4">
        <v>0</v>
      </c>
      <c r="L97" s="4">
        <v>0</v>
      </c>
      <c r="M97" s="4">
        <v>0</v>
      </c>
      <c r="O97" t="s">
        <v>71</v>
      </c>
      <c r="P97" t="s">
        <v>326</v>
      </c>
      <c r="Q97" t="s">
        <v>327</v>
      </c>
      <c r="R97" t="s">
        <v>612</v>
      </c>
      <c r="S97" t="s">
        <v>613</v>
      </c>
      <c r="T97" t="s">
        <v>330</v>
      </c>
      <c r="U97" t="s">
        <v>614</v>
      </c>
      <c r="V97" t="s">
        <v>222</v>
      </c>
      <c r="W97" t="s">
        <v>223</v>
      </c>
      <c r="X97" t="s">
        <v>224</v>
      </c>
      <c r="Y97" t="s">
        <v>225</v>
      </c>
      <c r="Z97" t="s">
        <v>226</v>
      </c>
      <c r="AA97" t="s">
        <v>227</v>
      </c>
      <c r="AB97" t="s">
        <v>228</v>
      </c>
      <c r="AD97" t="s">
        <v>615</v>
      </c>
    </row>
    <row r="98" spans="1:30">
      <c r="A98">
        <v>11000</v>
      </c>
      <c r="B98" s="4">
        <v>298</v>
      </c>
      <c r="C98" s="4">
        <v>2943</v>
      </c>
      <c r="D98" s="4">
        <v>3770</v>
      </c>
      <c r="E98" s="4">
        <v>355</v>
      </c>
      <c r="F98" s="4">
        <v>3367</v>
      </c>
      <c r="G98" s="4">
        <v>0</v>
      </c>
      <c r="H98" s="4">
        <v>0</v>
      </c>
      <c r="I98" s="4">
        <v>0</v>
      </c>
      <c r="J98" s="4">
        <v>0</v>
      </c>
      <c r="K98" s="4">
        <v>0</v>
      </c>
      <c r="L98" s="4">
        <v>0</v>
      </c>
      <c r="M98" s="4">
        <v>0</v>
      </c>
      <c r="O98" t="s">
        <v>71</v>
      </c>
      <c r="P98" t="s">
        <v>333</v>
      </c>
      <c r="Q98" t="s">
        <v>334</v>
      </c>
      <c r="R98" t="s">
        <v>616</v>
      </c>
      <c r="S98" t="s">
        <v>617</v>
      </c>
      <c r="T98" t="s">
        <v>337</v>
      </c>
      <c r="U98" t="s">
        <v>618</v>
      </c>
      <c r="V98" t="s">
        <v>222</v>
      </c>
      <c r="W98" t="s">
        <v>223</v>
      </c>
      <c r="X98" t="s">
        <v>224</v>
      </c>
      <c r="Y98" t="s">
        <v>225</v>
      </c>
      <c r="Z98" t="s">
        <v>226</v>
      </c>
      <c r="AA98" t="s">
        <v>227</v>
      </c>
      <c r="AB98" t="s">
        <v>228</v>
      </c>
      <c r="AD98" t="s">
        <v>619</v>
      </c>
    </row>
    <row r="99" spans="1:30">
      <c r="A99">
        <v>9000</v>
      </c>
      <c r="B99" s="4">
        <v>289</v>
      </c>
      <c r="C99" s="4">
        <v>3066</v>
      </c>
      <c r="D99" s="4">
        <v>3923</v>
      </c>
      <c r="E99" s="4">
        <v>337</v>
      </c>
      <c r="F99" s="4">
        <v>3629</v>
      </c>
      <c r="G99" s="4">
        <v>0</v>
      </c>
      <c r="H99" s="4">
        <v>0</v>
      </c>
      <c r="I99" s="4">
        <v>0</v>
      </c>
      <c r="J99" s="4">
        <v>0</v>
      </c>
      <c r="K99" s="4">
        <v>0</v>
      </c>
      <c r="L99" s="4">
        <v>0</v>
      </c>
      <c r="M99" s="4">
        <v>0</v>
      </c>
      <c r="N99" s="5"/>
      <c r="O99" t="s">
        <v>71</v>
      </c>
      <c r="P99" t="s">
        <v>340</v>
      </c>
      <c r="Q99" t="s">
        <v>341</v>
      </c>
      <c r="R99" t="s">
        <v>620</v>
      </c>
      <c r="S99" t="s">
        <v>621</v>
      </c>
      <c r="T99" t="s">
        <v>344</v>
      </c>
      <c r="U99" t="s">
        <v>622</v>
      </c>
      <c r="V99" t="s">
        <v>222</v>
      </c>
      <c r="W99" t="s">
        <v>223</v>
      </c>
      <c r="X99" t="s">
        <v>224</v>
      </c>
      <c r="Y99" t="s">
        <v>225</v>
      </c>
      <c r="Z99" t="s">
        <v>226</v>
      </c>
      <c r="AA99" t="s">
        <v>227</v>
      </c>
      <c r="AB99" t="s">
        <v>228</v>
      </c>
      <c r="AD99" t="s">
        <v>623</v>
      </c>
    </row>
    <row r="100" spans="1:30">
      <c r="A100">
        <v>7000</v>
      </c>
      <c r="B100" s="4">
        <v>281</v>
      </c>
      <c r="C100" s="4">
        <v>3192</v>
      </c>
      <c r="D100" s="4">
        <v>4071</v>
      </c>
      <c r="E100" s="4">
        <v>316</v>
      </c>
      <c r="F100" s="4">
        <v>3906</v>
      </c>
      <c r="G100" s="4">
        <v>0</v>
      </c>
      <c r="H100" s="4">
        <v>0</v>
      </c>
      <c r="I100" s="4">
        <v>0</v>
      </c>
      <c r="J100" s="4">
        <v>0</v>
      </c>
      <c r="K100" s="4">
        <v>0</v>
      </c>
      <c r="L100" s="4">
        <v>0</v>
      </c>
      <c r="M100" s="4">
        <v>0</v>
      </c>
      <c r="N100" s="5"/>
      <c r="O100" t="s">
        <v>71</v>
      </c>
      <c r="P100" t="s">
        <v>347</v>
      </c>
      <c r="Q100" t="s">
        <v>348</v>
      </c>
      <c r="R100" t="s">
        <v>624</v>
      </c>
      <c r="S100" t="s">
        <v>625</v>
      </c>
      <c r="T100" t="s">
        <v>351</v>
      </c>
      <c r="U100" t="s">
        <v>626</v>
      </c>
      <c r="V100" t="s">
        <v>222</v>
      </c>
      <c r="W100" t="s">
        <v>223</v>
      </c>
      <c r="X100" t="s">
        <v>224</v>
      </c>
      <c r="Y100" t="s">
        <v>225</v>
      </c>
      <c r="Z100" t="s">
        <v>226</v>
      </c>
      <c r="AA100" t="s">
        <v>227</v>
      </c>
      <c r="AB100" t="s">
        <v>228</v>
      </c>
      <c r="AD100" t="s">
        <v>627</v>
      </c>
    </row>
    <row r="101" spans="1:30">
      <c r="A101">
        <v>5000</v>
      </c>
      <c r="B101" s="4">
        <v>273</v>
      </c>
      <c r="C101" s="4">
        <v>3322</v>
      </c>
      <c r="D101" s="4">
        <v>4212</v>
      </c>
      <c r="E101" s="4">
        <v>294</v>
      </c>
      <c r="F101" s="4">
        <v>4200</v>
      </c>
      <c r="G101" s="4">
        <v>0</v>
      </c>
      <c r="H101" s="4">
        <v>0</v>
      </c>
      <c r="I101" s="4">
        <v>0</v>
      </c>
      <c r="J101" s="4">
        <v>0</v>
      </c>
      <c r="K101" s="4">
        <v>0</v>
      </c>
      <c r="L101" s="4">
        <v>0</v>
      </c>
      <c r="M101" s="4">
        <v>0</v>
      </c>
      <c r="N101" s="3"/>
      <c r="O101" t="s">
        <v>71</v>
      </c>
      <c r="P101" t="s">
        <v>354</v>
      </c>
      <c r="Q101" t="s">
        <v>355</v>
      </c>
      <c r="R101" t="s">
        <v>628</v>
      </c>
      <c r="S101" t="s">
        <v>629</v>
      </c>
      <c r="T101" t="s">
        <v>358</v>
      </c>
      <c r="U101" t="s">
        <v>630</v>
      </c>
      <c r="V101" t="s">
        <v>222</v>
      </c>
      <c r="W101" t="s">
        <v>223</v>
      </c>
      <c r="X101" t="s">
        <v>224</v>
      </c>
      <c r="Y101" t="s">
        <v>225</v>
      </c>
      <c r="Z101" t="s">
        <v>226</v>
      </c>
      <c r="AA101" t="s">
        <v>227</v>
      </c>
      <c r="AB101" t="s">
        <v>228</v>
      </c>
      <c r="AD101" t="s">
        <v>631</v>
      </c>
    </row>
    <row r="102" spans="1:30">
      <c r="A102">
        <v>3000</v>
      </c>
      <c r="B102" s="4">
        <v>265</v>
      </c>
      <c r="C102" s="4">
        <v>3455</v>
      </c>
      <c r="D102" s="4">
        <v>4347</v>
      </c>
      <c r="E102" s="4">
        <v>269</v>
      </c>
      <c r="F102" s="4">
        <v>4508</v>
      </c>
      <c r="G102" s="4">
        <v>0</v>
      </c>
      <c r="H102" s="4">
        <v>0</v>
      </c>
      <c r="I102" s="4">
        <v>0</v>
      </c>
      <c r="J102" s="4">
        <v>0</v>
      </c>
      <c r="K102" s="4">
        <v>0</v>
      </c>
      <c r="L102" s="4">
        <v>0</v>
      </c>
      <c r="M102" s="4">
        <v>0</v>
      </c>
      <c r="N102" s="5"/>
      <c r="O102" t="s">
        <v>71</v>
      </c>
      <c r="P102" t="s">
        <v>361</v>
      </c>
      <c r="Q102" t="s">
        <v>362</v>
      </c>
      <c r="R102" t="s">
        <v>632</v>
      </c>
      <c r="S102" t="s">
        <v>633</v>
      </c>
      <c r="T102" t="s">
        <v>365</v>
      </c>
      <c r="U102" t="s">
        <v>634</v>
      </c>
      <c r="V102" t="s">
        <v>222</v>
      </c>
      <c r="W102" t="s">
        <v>223</v>
      </c>
      <c r="X102" t="s">
        <v>224</v>
      </c>
      <c r="Y102" t="s">
        <v>225</v>
      </c>
      <c r="Z102" t="s">
        <v>226</v>
      </c>
      <c r="AA102" t="s">
        <v>227</v>
      </c>
      <c r="AB102" t="s">
        <v>228</v>
      </c>
      <c r="AD102" t="s">
        <v>635</v>
      </c>
    </row>
    <row r="103" spans="1:30">
      <c r="A103">
        <v>1000</v>
      </c>
      <c r="B103" s="4">
        <v>257</v>
      </c>
      <c r="C103" s="4">
        <v>3592</v>
      </c>
      <c r="D103" s="4">
        <v>4475</v>
      </c>
      <c r="E103" s="4">
        <v>242</v>
      </c>
      <c r="F103" s="4">
        <v>4832</v>
      </c>
      <c r="G103" s="4">
        <v>0</v>
      </c>
      <c r="H103" s="4">
        <v>0</v>
      </c>
      <c r="I103" s="4">
        <v>0</v>
      </c>
      <c r="J103" s="4">
        <v>0</v>
      </c>
      <c r="K103" s="4">
        <v>0</v>
      </c>
      <c r="L103" s="4">
        <v>0</v>
      </c>
      <c r="M103" s="4">
        <v>0</v>
      </c>
      <c r="N103" s="3"/>
      <c r="O103" t="s">
        <v>71</v>
      </c>
      <c r="P103" t="s">
        <v>368</v>
      </c>
      <c r="Q103" t="s">
        <v>369</v>
      </c>
      <c r="R103" t="s">
        <v>636</v>
      </c>
      <c r="S103" t="s">
        <v>637</v>
      </c>
      <c r="T103" t="s">
        <v>372</v>
      </c>
      <c r="U103" t="s">
        <v>638</v>
      </c>
      <c r="V103" t="s">
        <v>222</v>
      </c>
      <c r="W103" t="s">
        <v>223</v>
      </c>
      <c r="X103" t="s">
        <v>224</v>
      </c>
      <c r="Y103" t="s">
        <v>225</v>
      </c>
      <c r="Z103" t="s">
        <v>226</v>
      </c>
      <c r="AA103" t="s">
        <v>227</v>
      </c>
      <c r="AB103" t="s">
        <v>374</v>
      </c>
      <c r="AD103" t="s">
        <v>639</v>
      </c>
    </row>
    <row r="105" spans="1:30">
      <c r="B105" t="s">
        <v>184</v>
      </c>
    </row>
  </sheetData>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BA205-AE36-4E97-8AAB-E55A1E638504}">
  <sheetPr codeName="Sheet4"/>
  <dimension ref="A1:AP34"/>
  <sheetViews>
    <sheetView topLeftCell="J1" workbookViewId="0">
      <selection activeCell="R25" sqref="R25"/>
    </sheetView>
  </sheetViews>
  <sheetFormatPr defaultRowHeight="15"/>
  <cols>
    <col min="1" max="1" width="9.5703125" bestFit="1" customWidth="1"/>
    <col min="2" max="9" width="9.28515625" bestFit="1" customWidth="1"/>
    <col min="11" max="11" width="9.5703125" bestFit="1" customWidth="1"/>
    <col min="12" max="22" width="9.28515625" bestFit="1" customWidth="1"/>
    <col min="24" max="24" width="9.5703125" bestFit="1" customWidth="1"/>
    <col min="25" max="32" width="9.28515625" bestFit="1" customWidth="1"/>
    <col min="34" max="34" width="9.5703125" bestFit="1" customWidth="1"/>
    <col min="35" max="42" width="9.28515625" bestFit="1" customWidth="1"/>
  </cols>
  <sheetData>
    <row r="1" spans="1:42">
      <c r="B1" t="s">
        <v>131</v>
      </c>
      <c r="C1" t="s">
        <v>185</v>
      </c>
      <c r="D1" t="s">
        <v>186</v>
      </c>
      <c r="G1" s="8" t="s">
        <v>187</v>
      </c>
      <c r="H1" s="7"/>
      <c r="I1" s="6"/>
      <c r="L1" t="s">
        <v>188</v>
      </c>
      <c r="M1" t="s">
        <v>185</v>
      </c>
      <c r="N1" t="s">
        <v>189</v>
      </c>
      <c r="Q1" s="8" t="s">
        <v>190</v>
      </c>
      <c r="R1" s="7"/>
      <c r="S1" s="6"/>
      <c r="T1" s="8" t="s">
        <v>191</v>
      </c>
      <c r="U1" s="7"/>
      <c r="V1" s="6"/>
      <c r="Y1" t="s">
        <v>159</v>
      </c>
      <c r="Z1" t="s">
        <v>192</v>
      </c>
      <c r="AA1" t="s">
        <v>186</v>
      </c>
      <c r="AD1" s="8" t="s">
        <v>187</v>
      </c>
      <c r="AE1" s="7"/>
      <c r="AF1" s="6"/>
      <c r="AI1" t="s">
        <v>165</v>
      </c>
      <c r="AJ1" t="s">
        <v>193</v>
      </c>
      <c r="AK1" t="s">
        <v>186</v>
      </c>
      <c r="AN1" s="8" t="s">
        <v>187</v>
      </c>
      <c r="AO1" s="7"/>
      <c r="AP1" s="6"/>
    </row>
    <row r="2" spans="1:42" s="48" customFormat="1" ht="58.5" customHeight="1">
      <c r="B2" s="48" t="s">
        <v>194</v>
      </c>
      <c r="C2" s="48" t="s">
        <v>195</v>
      </c>
      <c r="D2" s="48" t="s">
        <v>196</v>
      </c>
      <c r="E2" s="48" t="s">
        <v>197</v>
      </c>
      <c r="F2" s="48" t="s">
        <v>198</v>
      </c>
      <c r="G2" s="49" t="s">
        <v>199</v>
      </c>
      <c r="H2" s="50" t="s">
        <v>197</v>
      </c>
      <c r="I2" s="51" t="s">
        <v>198</v>
      </c>
      <c r="L2" s="48" t="s">
        <v>194</v>
      </c>
      <c r="M2" s="48" t="s">
        <v>195</v>
      </c>
      <c r="N2" s="48" t="s">
        <v>196</v>
      </c>
      <c r="O2" s="48" t="s">
        <v>197</v>
      </c>
      <c r="P2" s="48" t="s">
        <v>198</v>
      </c>
      <c r="Q2" s="49" t="s">
        <v>199</v>
      </c>
      <c r="R2" s="50" t="s">
        <v>197</v>
      </c>
      <c r="S2" s="51" t="s">
        <v>198</v>
      </c>
      <c r="T2" s="49" t="s">
        <v>199</v>
      </c>
      <c r="U2" s="50"/>
      <c r="V2" s="51"/>
      <c r="Y2" s="48" t="s">
        <v>194</v>
      </c>
      <c r="Z2" s="48" t="s">
        <v>195</v>
      </c>
      <c r="AA2" s="48" t="s">
        <v>196</v>
      </c>
      <c r="AB2" s="48" t="s">
        <v>197</v>
      </c>
      <c r="AC2" s="48" t="s">
        <v>198</v>
      </c>
      <c r="AD2" s="49" t="s">
        <v>199</v>
      </c>
      <c r="AE2" s="50" t="s">
        <v>197</v>
      </c>
      <c r="AF2" s="51" t="s">
        <v>198</v>
      </c>
      <c r="AI2" s="48" t="s">
        <v>194</v>
      </c>
      <c r="AJ2" s="48" t="s">
        <v>195</v>
      </c>
      <c r="AK2" s="48" t="s">
        <v>196</v>
      </c>
      <c r="AL2" s="48" t="s">
        <v>197</v>
      </c>
      <c r="AM2" s="48" t="s">
        <v>198</v>
      </c>
      <c r="AN2" s="49" t="s">
        <v>199</v>
      </c>
      <c r="AO2" s="50" t="s">
        <v>197</v>
      </c>
      <c r="AP2" s="51" t="s">
        <v>198</v>
      </c>
    </row>
    <row r="3" spans="1:42" s="52" customFormat="1">
      <c r="A3" s="52">
        <v>45000</v>
      </c>
      <c r="G3" s="53">
        <v>410.7</v>
      </c>
      <c r="H3" s="54">
        <v>1</v>
      </c>
      <c r="I3" s="55">
        <v>1800.7249686596731</v>
      </c>
      <c r="K3" s="52">
        <v>45000</v>
      </c>
      <c r="Q3" s="53">
        <v>410.7</v>
      </c>
      <c r="R3" s="54">
        <v>-342.72035181981664</v>
      </c>
      <c r="S3" s="55">
        <v>1800.7249686596731</v>
      </c>
      <c r="T3" s="53">
        <v>352</v>
      </c>
      <c r="U3" s="54">
        <v>1</v>
      </c>
      <c r="V3" s="55">
        <v>1800.7249686596731</v>
      </c>
      <c r="X3" s="52">
        <v>45000</v>
      </c>
      <c r="Y3" s="52">
        <v>36.9</v>
      </c>
      <c r="Z3" s="52">
        <v>240</v>
      </c>
      <c r="AA3" s="52">
        <v>846</v>
      </c>
      <c r="AB3" s="52">
        <v>155.0387596899225</v>
      </c>
      <c r="AC3" s="52">
        <v>888.37209302325584</v>
      </c>
      <c r="AD3" s="53">
        <v>410.7</v>
      </c>
      <c r="AE3" s="54">
        <v>332.43320637283887</v>
      </c>
      <c r="AF3" s="55">
        <v>960.96402254372151</v>
      </c>
      <c r="AH3" s="52">
        <v>45000</v>
      </c>
      <c r="AL3" s="52">
        <v>-77.821011673151759</v>
      </c>
      <c r="AM3" s="52">
        <v>1852.0622568093386</v>
      </c>
      <c r="AN3" s="53">
        <v>410.7</v>
      </c>
      <c r="AO3" s="54">
        <v>203.07235741073146</v>
      </c>
      <c r="AP3" s="55">
        <v>1412.1707857956544</v>
      </c>
    </row>
    <row r="4" spans="1:42" s="52" customFormat="1">
      <c r="A4" s="52">
        <v>43000</v>
      </c>
      <c r="G4" s="53">
        <v>410.7</v>
      </c>
      <c r="H4" s="54">
        <v>1</v>
      </c>
      <c r="I4" s="55">
        <v>1835.7416285099982</v>
      </c>
      <c r="K4" s="52">
        <v>43000</v>
      </c>
      <c r="Q4" s="53">
        <v>410.7</v>
      </c>
      <c r="R4" s="54">
        <v>-55.81944726682741</v>
      </c>
      <c r="S4" s="55">
        <v>1835.7416285099982</v>
      </c>
      <c r="T4" s="53">
        <v>352</v>
      </c>
      <c r="U4" s="54">
        <v>1</v>
      </c>
      <c r="V4" s="55">
        <v>1835.7416285099982</v>
      </c>
      <c r="X4" s="52">
        <v>43000</v>
      </c>
      <c r="Y4" s="52">
        <v>24</v>
      </c>
      <c r="Z4" s="52">
        <v>151.6</v>
      </c>
      <c r="AA4" s="52">
        <v>655</v>
      </c>
      <c r="AB4" s="52">
        <v>444.44444444444446</v>
      </c>
      <c r="AC4" s="52">
        <v>983.99999999999943</v>
      </c>
      <c r="AD4" s="53">
        <v>410.7</v>
      </c>
      <c r="AE4" s="54">
        <v>542.08256828271442</v>
      </c>
      <c r="AF4" s="55">
        <v>1042.894873689921</v>
      </c>
      <c r="AH4" s="52">
        <v>43000</v>
      </c>
      <c r="AI4" s="52">
        <v>25.7</v>
      </c>
      <c r="AJ4" s="52">
        <v>164</v>
      </c>
      <c r="AK4" s="52">
        <v>793.3</v>
      </c>
      <c r="AL4" s="52">
        <v>277.77777777777783</v>
      </c>
      <c r="AM4" s="52">
        <v>1210.833333333333</v>
      </c>
      <c r="AN4" s="53">
        <v>410.7</v>
      </c>
      <c r="AO4" s="54">
        <v>462.97855227843638</v>
      </c>
      <c r="AP4" s="55">
        <v>1473.3917796243522</v>
      </c>
    </row>
    <row r="5" spans="1:42" s="52" customFormat="1">
      <c r="A5" s="52">
        <v>41000</v>
      </c>
      <c r="G5" s="53">
        <v>410.7</v>
      </c>
      <c r="H5" s="54">
        <v>221.5555011607521</v>
      </c>
      <c r="I5" s="55">
        <v>1872.6316413650845</v>
      </c>
      <c r="K5" s="52">
        <v>41000</v>
      </c>
      <c r="Q5" s="53">
        <v>410.7</v>
      </c>
      <c r="R5" s="54">
        <v>221.5555011607521</v>
      </c>
      <c r="S5" s="55">
        <v>1872.6316413650845</v>
      </c>
      <c r="T5" s="53">
        <v>352</v>
      </c>
      <c r="U5" s="54">
        <v>1</v>
      </c>
      <c r="V5" s="55">
        <v>1872.6316413650845</v>
      </c>
      <c r="X5" s="52">
        <v>41000</v>
      </c>
      <c r="Y5" s="52">
        <v>19.5</v>
      </c>
      <c r="Z5" s="52">
        <v>120.7</v>
      </c>
      <c r="AA5" s="52">
        <v>581.20000000000005</v>
      </c>
      <c r="AB5" s="52">
        <v>740.74074074074099</v>
      </c>
      <c r="AC5" s="52">
        <v>1088.8888888888891</v>
      </c>
      <c r="AD5" s="53">
        <v>410.7</v>
      </c>
      <c r="AE5" s="54">
        <v>749.87214742283822</v>
      </c>
      <c r="AF5" s="55">
        <v>1126.7986122840257</v>
      </c>
      <c r="AH5" s="52">
        <v>41000</v>
      </c>
      <c r="AI5" s="52">
        <v>18.5</v>
      </c>
      <c r="AJ5" s="52">
        <v>114.2</v>
      </c>
      <c r="AK5" s="52">
        <v>648</v>
      </c>
      <c r="AL5" s="52">
        <v>714.28571428571411</v>
      </c>
      <c r="AM5" s="52">
        <v>1309.2857142857144</v>
      </c>
      <c r="AN5" s="53">
        <v>410.7</v>
      </c>
      <c r="AO5" s="54">
        <v>716.6272495746216</v>
      </c>
      <c r="AP5" s="55">
        <v>1538.221020332302</v>
      </c>
    </row>
    <row r="6" spans="1:42" s="52" customFormat="1">
      <c r="A6" s="52">
        <v>39000</v>
      </c>
      <c r="B6" s="52">
        <v>22</v>
      </c>
      <c r="C6" s="52">
        <v>136.5</v>
      </c>
      <c r="D6" s="52">
        <v>668.1</v>
      </c>
      <c r="E6" s="52">
        <v>540.54054054054063</v>
      </c>
      <c r="F6" s="52">
        <v>1201.6216216216221</v>
      </c>
      <c r="G6" s="53">
        <v>410.7</v>
      </c>
      <c r="H6" s="54">
        <v>489.40449346292326</v>
      </c>
      <c r="I6" s="55">
        <v>1911.3950072249318</v>
      </c>
      <c r="K6" s="52">
        <v>39000</v>
      </c>
      <c r="L6" s="52">
        <v>22</v>
      </c>
      <c r="M6" s="52">
        <v>136.5</v>
      </c>
      <c r="N6" s="52">
        <v>668.1</v>
      </c>
      <c r="O6" s="52">
        <v>540.54054054054063</v>
      </c>
      <c r="P6" s="52">
        <v>1201.6216216216221</v>
      </c>
      <c r="Q6" s="53">
        <v>410.7</v>
      </c>
      <c r="R6" s="54">
        <v>489.40449346292326</v>
      </c>
      <c r="S6" s="55">
        <v>1911.3950072249318</v>
      </c>
      <c r="T6" s="53">
        <v>352</v>
      </c>
      <c r="U6" s="54">
        <v>419.45551911114921</v>
      </c>
      <c r="V6" s="55">
        <v>1911.3950072249318</v>
      </c>
      <c r="X6" s="52">
        <v>39000</v>
      </c>
      <c r="Y6" s="52">
        <v>16.8</v>
      </c>
      <c r="Z6" s="52">
        <v>102.2</v>
      </c>
      <c r="AA6" s="52">
        <v>532.20000000000005</v>
      </c>
      <c r="AB6" s="52">
        <v>1052.6315789473683</v>
      </c>
      <c r="AC6" s="52">
        <v>1196.8421052631588</v>
      </c>
      <c r="AD6" s="53">
        <v>410.7</v>
      </c>
      <c r="AE6" s="54">
        <v>955.80194379321028</v>
      </c>
      <c r="AF6" s="55">
        <v>1212.6752383260341</v>
      </c>
      <c r="AH6" s="52">
        <v>39000</v>
      </c>
      <c r="AI6" s="52">
        <v>15.7</v>
      </c>
      <c r="AJ6" s="52">
        <v>95.5</v>
      </c>
      <c r="AK6" s="52">
        <v>586.9</v>
      </c>
      <c r="AL6" s="52">
        <v>1176.4705882352946</v>
      </c>
      <c r="AM6" s="52">
        <v>1542.3529411764689</v>
      </c>
      <c r="AN6" s="53">
        <v>410.7</v>
      </c>
      <c r="AO6" s="54">
        <v>964.01844929928757</v>
      </c>
      <c r="AP6" s="55">
        <v>1606.6585079195033</v>
      </c>
    </row>
    <row r="7" spans="1:42" s="52" customFormat="1">
      <c r="A7" s="52">
        <v>37000</v>
      </c>
      <c r="B7" s="52">
        <v>18.3</v>
      </c>
      <c r="C7" s="52">
        <v>111.2</v>
      </c>
      <c r="D7" s="52">
        <v>594</v>
      </c>
      <c r="E7" s="52">
        <v>909.09090909090935</v>
      </c>
      <c r="F7" s="52">
        <v>1339.0909090909101</v>
      </c>
      <c r="G7" s="53">
        <v>410.7</v>
      </c>
      <c r="H7" s="54">
        <v>747.7275296396856</v>
      </c>
      <c r="I7" s="55">
        <v>1952.0317260895401</v>
      </c>
      <c r="K7" s="52">
        <v>37000</v>
      </c>
      <c r="L7" s="52">
        <v>18.3</v>
      </c>
      <c r="M7" s="52">
        <v>111.2</v>
      </c>
      <c r="N7" s="52">
        <v>594</v>
      </c>
      <c r="O7" s="52">
        <v>909.09090909090935</v>
      </c>
      <c r="P7" s="52">
        <v>1339.0909090909101</v>
      </c>
      <c r="Q7" s="53">
        <v>410.7</v>
      </c>
      <c r="R7" s="54">
        <v>747.7275296396856</v>
      </c>
      <c r="S7" s="55">
        <v>1952.0317260895401</v>
      </c>
      <c r="T7" s="53">
        <v>352</v>
      </c>
      <c r="U7" s="54">
        <v>640.85729348227255</v>
      </c>
      <c r="V7" s="55">
        <v>1952.0317260895401</v>
      </c>
      <c r="X7" s="52">
        <v>37000</v>
      </c>
      <c r="Y7" s="52">
        <v>14.9</v>
      </c>
      <c r="Z7" s="52">
        <v>89.2</v>
      </c>
      <c r="AA7" s="52">
        <v>494.3</v>
      </c>
      <c r="AB7" s="52">
        <v>1428.5714285714282</v>
      </c>
      <c r="AC7" s="52">
        <v>1345.7142857142869</v>
      </c>
      <c r="AD7" s="53">
        <v>410.7</v>
      </c>
      <c r="AE7" s="54">
        <v>1159.8719573938311</v>
      </c>
      <c r="AF7" s="55">
        <v>1300.5247518159485</v>
      </c>
      <c r="AH7" s="52">
        <v>37000</v>
      </c>
      <c r="AI7" s="52">
        <v>14</v>
      </c>
      <c r="AJ7" s="52">
        <v>83.4</v>
      </c>
      <c r="AK7" s="52">
        <v>543.20000000000005</v>
      </c>
      <c r="AL7" s="52">
        <v>1538.4615384615377</v>
      </c>
      <c r="AM7" s="52">
        <v>1587.6923076923085</v>
      </c>
      <c r="AN7" s="53">
        <v>410.7</v>
      </c>
      <c r="AO7" s="54">
        <v>1205.1521514524356</v>
      </c>
      <c r="AP7" s="55">
        <v>1678.7042423859566</v>
      </c>
    </row>
    <row r="8" spans="1:42" s="52" customFormat="1">
      <c r="A8" s="52">
        <v>35000</v>
      </c>
      <c r="B8" s="52">
        <v>16.100000000000001</v>
      </c>
      <c r="C8" s="52">
        <v>96.2</v>
      </c>
      <c r="D8" s="52">
        <v>544.9</v>
      </c>
      <c r="E8" s="52">
        <v>1111.1111111111106</v>
      </c>
      <c r="F8" s="52">
        <v>1443.3333333333312</v>
      </c>
      <c r="G8" s="53">
        <v>412.6</v>
      </c>
      <c r="H8" s="54">
        <v>996.52460969103777</v>
      </c>
      <c r="I8" s="55">
        <v>1994.5417979589095</v>
      </c>
      <c r="K8" s="52">
        <v>35000</v>
      </c>
      <c r="L8" s="52">
        <v>16.100000000000001</v>
      </c>
      <c r="M8" s="52">
        <v>96.2</v>
      </c>
      <c r="N8" s="52">
        <v>544.9</v>
      </c>
      <c r="O8" s="52">
        <v>1111.1111111111106</v>
      </c>
      <c r="P8" s="52">
        <v>1443.3333333333312</v>
      </c>
      <c r="Q8" s="53">
        <v>412.6</v>
      </c>
      <c r="R8" s="54">
        <v>996.52460969103777</v>
      </c>
      <c r="S8" s="55">
        <v>1994.5417979589095</v>
      </c>
      <c r="T8" s="53">
        <v>353.7</v>
      </c>
      <c r="U8" s="54">
        <v>854.26746109481348</v>
      </c>
      <c r="V8" s="55">
        <v>1994.5417979589095</v>
      </c>
      <c r="X8" s="52">
        <v>35000</v>
      </c>
      <c r="Y8" s="52">
        <v>13.5</v>
      </c>
      <c r="Z8" s="52">
        <v>79.599999999999994</v>
      </c>
      <c r="AA8" s="52">
        <v>462.9</v>
      </c>
      <c r="AB8" s="52">
        <v>1666.6666666666677</v>
      </c>
      <c r="AC8" s="52">
        <v>1494.9999999999998</v>
      </c>
      <c r="AD8" s="53">
        <v>412.6</v>
      </c>
      <c r="AE8" s="54">
        <v>1362.0821882246996</v>
      </c>
      <c r="AF8" s="55">
        <v>1390.3471527537677</v>
      </c>
      <c r="AH8" s="52">
        <v>35000</v>
      </c>
      <c r="AI8" s="52">
        <v>12.7</v>
      </c>
      <c r="AJ8" s="52">
        <v>74.8</v>
      </c>
      <c r="AK8" s="52">
        <v>508.8</v>
      </c>
      <c r="AL8" s="52">
        <v>1818.1818181818187</v>
      </c>
      <c r="AM8" s="52">
        <v>1734.5454545454556</v>
      </c>
      <c r="AN8" s="53">
        <v>412.6</v>
      </c>
      <c r="AO8" s="54">
        <v>1440.0283560340631</v>
      </c>
      <c r="AP8" s="55">
        <v>1754.3582237316609</v>
      </c>
    </row>
    <row r="9" spans="1:42" s="52" customFormat="1">
      <c r="A9" s="52">
        <v>33000</v>
      </c>
      <c r="B9" s="52">
        <v>14.3</v>
      </c>
      <c r="C9" s="52">
        <v>83.9</v>
      </c>
      <c r="D9" s="52">
        <v>501.6</v>
      </c>
      <c r="E9" s="52">
        <v>1111.1111111111106</v>
      </c>
      <c r="F9" s="52">
        <v>1616.6666666666661</v>
      </c>
      <c r="G9" s="53">
        <v>416.2</v>
      </c>
      <c r="H9" s="54">
        <v>1235.7957336169816</v>
      </c>
      <c r="I9" s="55">
        <v>2038.9252228330399</v>
      </c>
      <c r="K9" s="52">
        <v>33000</v>
      </c>
      <c r="L9" s="52">
        <v>14.3</v>
      </c>
      <c r="M9" s="52">
        <v>83.9</v>
      </c>
      <c r="N9" s="52">
        <v>501.6</v>
      </c>
      <c r="O9" s="52">
        <v>1111.1111111111106</v>
      </c>
      <c r="P9" s="52">
        <v>1616.6666666666661</v>
      </c>
      <c r="Q9" s="53">
        <v>416.2</v>
      </c>
      <c r="R9" s="54">
        <v>1235.7957336169816</v>
      </c>
      <c r="S9" s="55">
        <v>2038.9252228330399</v>
      </c>
      <c r="T9" s="53">
        <v>359.7</v>
      </c>
      <c r="U9" s="54">
        <v>1068.0339389284677</v>
      </c>
      <c r="V9" s="55">
        <v>2038.9252228330399</v>
      </c>
      <c r="X9" s="52">
        <v>33000</v>
      </c>
      <c r="Y9" s="52">
        <v>12.3</v>
      </c>
      <c r="Z9" s="52">
        <v>71.099999999999994</v>
      </c>
      <c r="AA9" s="52">
        <v>433</v>
      </c>
      <c r="AB9" s="52">
        <v>1428.5714285714282</v>
      </c>
      <c r="AC9" s="52">
        <v>1542.8571428571424</v>
      </c>
      <c r="AD9" s="53">
        <v>416.2</v>
      </c>
      <c r="AE9" s="54">
        <v>1562.4326362858174</v>
      </c>
      <c r="AF9" s="55">
        <v>1482.1424411394917</v>
      </c>
      <c r="AH9" s="52">
        <v>33000</v>
      </c>
      <c r="AI9" s="52">
        <v>11.6</v>
      </c>
      <c r="AJ9" s="52">
        <v>67.3</v>
      </c>
      <c r="AK9" s="52">
        <v>477</v>
      </c>
      <c r="AL9" s="52">
        <v>1666.6666666666677</v>
      </c>
      <c r="AM9" s="52">
        <v>1905.0000000000023</v>
      </c>
      <c r="AN9" s="53">
        <v>416.2</v>
      </c>
      <c r="AO9" s="54">
        <v>1668.6470630441727</v>
      </c>
      <c r="AP9" s="55">
        <v>1833.6204519566172</v>
      </c>
    </row>
    <row r="10" spans="1:42" s="52" customFormat="1">
      <c r="A10" s="52">
        <v>31000</v>
      </c>
      <c r="B10" s="52">
        <v>12.5</v>
      </c>
      <c r="C10" s="52">
        <v>70.900000000000006</v>
      </c>
      <c r="D10" s="52">
        <v>453.1</v>
      </c>
      <c r="E10" s="52">
        <v>1250.0000000000002</v>
      </c>
      <c r="F10" s="52">
        <v>1560.0000000000011</v>
      </c>
      <c r="G10" s="53">
        <v>408.9</v>
      </c>
      <c r="H10" s="54">
        <v>1465.5409014175161</v>
      </c>
      <c r="I10" s="55">
        <v>2085.1820007119313</v>
      </c>
      <c r="K10" s="52">
        <v>31000</v>
      </c>
      <c r="L10" s="52">
        <v>12.5</v>
      </c>
      <c r="M10" s="52">
        <v>70.900000000000006</v>
      </c>
      <c r="N10" s="52">
        <v>453.1</v>
      </c>
      <c r="O10" s="52">
        <v>1250.0000000000002</v>
      </c>
      <c r="P10" s="52">
        <v>1560.0000000000011</v>
      </c>
      <c r="Q10" s="53">
        <v>408.9</v>
      </c>
      <c r="R10" s="54">
        <v>1465.5409014175161</v>
      </c>
      <c r="S10" s="55">
        <v>2085.1820007119313</v>
      </c>
      <c r="T10" s="53">
        <v>362.7</v>
      </c>
      <c r="U10" s="54">
        <v>1299.9552089609515</v>
      </c>
      <c r="V10" s="55">
        <v>2085.1820007119313</v>
      </c>
      <c r="X10" s="52">
        <v>31000</v>
      </c>
      <c r="Y10" s="52">
        <v>10.9</v>
      </c>
      <c r="Z10" s="52">
        <v>61.6</v>
      </c>
      <c r="AA10" s="52">
        <v>397</v>
      </c>
      <c r="AB10" s="52">
        <v>1666.6666666666652</v>
      </c>
      <c r="AC10" s="52">
        <v>1659.999999999998</v>
      </c>
      <c r="AD10" s="53">
        <v>408.9</v>
      </c>
      <c r="AE10" s="54">
        <v>1760.9233015771829</v>
      </c>
      <c r="AF10" s="55">
        <v>1575.9106169731203</v>
      </c>
      <c r="AH10" s="52">
        <v>31000</v>
      </c>
      <c r="AI10" s="52">
        <v>10.4</v>
      </c>
      <c r="AJ10" s="52">
        <v>58.7</v>
      </c>
      <c r="AK10" s="52">
        <v>438.9</v>
      </c>
      <c r="AL10" s="52">
        <v>1818.1818181818187</v>
      </c>
      <c r="AM10" s="52">
        <v>2007.2727272727254</v>
      </c>
      <c r="AN10" s="53">
        <v>408.9</v>
      </c>
      <c r="AO10" s="54">
        <v>1891.0082724827625</v>
      </c>
      <c r="AP10" s="55">
        <v>1916.490927060825</v>
      </c>
    </row>
    <row r="11" spans="1:42" s="52" customFormat="1">
      <c r="A11" s="52">
        <v>29000</v>
      </c>
      <c r="B11" s="52">
        <v>10.9</v>
      </c>
      <c r="C11" s="52">
        <v>60.5</v>
      </c>
      <c r="D11" s="52">
        <v>411.5</v>
      </c>
      <c r="E11" s="52">
        <v>1666.6666666666652</v>
      </c>
      <c r="F11" s="52">
        <v>1789.9999999999991</v>
      </c>
      <c r="G11" s="53">
        <v>395.7</v>
      </c>
      <c r="H11" s="54">
        <v>1685.7601130926414</v>
      </c>
      <c r="I11" s="55">
        <v>2133.3121315955841</v>
      </c>
      <c r="K11" s="52">
        <v>29000</v>
      </c>
      <c r="L11" s="52">
        <v>10.9</v>
      </c>
      <c r="M11" s="52">
        <v>60.5</v>
      </c>
      <c r="N11" s="52">
        <v>411.5</v>
      </c>
      <c r="O11" s="52">
        <v>1666.6666666666652</v>
      </c>
      <c r="P11" s="52">
        <v>1789.9999999999991</v>
      </c>
      <c r="Q11" s="53">
        <v>395.7</v>
      </c>
      <c r="R11" s="54">
        <v>1685.7601130926414</v>
      </c>
      <c r="S11" s="55">
        <v>2133.3121315955841</v>
      </c>
      <c r="T11" s="53">
        <v>365.8</v>
      </c>
      <c r="U11" s="54">
        <v>1558.3802106881178</v>
      </c>
      <c r="V11" s="55">
        <v>2133.3121315955841</v>
      </c>
      <c r="X11" s="52">
        <v>29000</v>
      </c>
      <c r="Y11" s="52">
        <v>9.6999999999999993</v>
      </c>
      <c r="Z11" s="52">
        <v>53.3</v>
      </c>
      <c r="AA11" s="52">
        <v>363.8</v>
      </c>
      <c r="AB11" s="52">
        <v>1818.1818181818187</v>
      </c>
      <c r="AC11" s="52">
        <v>1647.272727272727</v>
      </c>
      <c r="AD11" s="53">
        <v>395.7</v>
      </c>
      <c r="AE11" s="54">
        <v>1957.5541840987971</v>
      </c>
      <c r="AF11" s="55">
        <v>1671.6516802546544</v>
      </c>
      <c r="AH11" s="52">
        <v>29000</v>
      </c>
      <c r="AI11" s="52">
        <v>9.3000000000000007</v>
      </c>
      <c r="AJ11" s="52">
        <v>51</v>
      </c>
      <c r="AK11" s="52">
        <v>402.1</v>
      </c>
      <c r="AL11" s="52">
        <v>2000</v>
      </c>
      <c r="AM11" s="52">
        <v>2004.000000000002</v>
      </c>
      <c r="AN11" s="53">
        <v>395.7</v>
      </c>
      <c r="AO11" s="54">
        <v>2107.1119843498336</v>
      </c>
      <c r="AP11" s="55">
        <v>2002.9696490442846</v>
      </c>
    </row>
    <row r="12" spans="1:42" s="52" customFormat="1">
      <c r="A12" s="52">
        <v>27000</v>
      </c>
      <c r="B12" s="52">
        <v>9.6999999999999993</v>
      </c>
      <c r="C12" s="52">
        <v>52.4</v>
      </c>
      <c r="D12" s="52">
        <v>375.7</v>
      </c>
      <c r="E12" s="52">
        <v>1818.1818181818187</v>
      </c>
      <c r="F12" s="52">
        <v>1778.1818181818169</v>
      </c>
      <c r="G12" s="53">
        <v>383.1</v>
      </c>
      <c r="H12" s="54">
        <v>1896.4533686423576</v>
      </c>
      <c r="I12" s="55">
        <v>2183.315615483998</v>
      </c>
      <c r="K12" s="52">
        <v>27000</v>
      </c>
      <c r="L12" s="52">
        <v>9.6999999999999993</v>
      </c>
      <c r="M12" s="52">
        <v>52.4</v>
      </c>
      <c r="N12" s="52">
        <v>375.7</v>
      </c>
      <c r="O12" s="52">
        <v>1818.1818181818187</v>
      </c>
      <c r="P12" s="52">
        <v>1778.1818181818169</v>
      </c>
      <c r="Q12" s="53">
        <v>383.1</v>
      </c>
      <c r="R12" s="54">
        <v>1896.4533686423576</v>
      </c>
      <c r="S12" s="55">
        <v>2183.315615483998</v>
      </c>
      <c r="T12" s="53">
        <v>354</v>
      </c>
      <c r="U12" s="54">
        <v>1752.4001370383569</v>
      </c>
      <c r="V12" s="55">
        <v>2183.315615483998</v>
      </c>
      <c r="X12" s="52">
        <v>27000</v>
      </c>
      <c r="Y12" s="52">
        <v>8.6</v>
      </c>
      <c r="Z12" s="52">
        <v>46.3</v>
      </c>
      <c r="AA12" s="52">
        <v>333.6</v>
      </c>
      <c r="AB12" s="52">
        <v>2222.2222222222235</v>
      </c>
      <c r="AC12" s="52">
        <v>1880.0000000000039</v>
      </c>
      <c r="AD12" s="53">
        <v>383.1</v>
      </c>
      <c r="AE12" s="54">
        <v>2152.3252838506601</v>
      </c>
      <c r="AF12" s="55">
        <v>1769.3656309840931</v>
      </c>
      <c r="AH12" s="52">
        <v>27000</v>
      </c>
      <c r="AI12" s="52">
        <v>8.3000000000000007</v>
      </c>
      <c r="AJ12" s="52">
        <v>44.5</v>
      </c>
      <c r="AK12" s="52">
        <v>368.7</v>
      </c>
      <c r="AL12" s="52">
        <v>2222.2222222222213</v>
      </c>
      <c r="AM12" s="52">
        <v>2079.9999999999986</v>
      </c>
      <c r="AN12" s="53">
        <v>383.1</v>
      </c>
      <c r="AO12" s="54">
        <v>2316.9581986453859</v>
      </c>
      <c r="AP12" s="55">
        <v>2093.0566179069956</v>
      </c>
    </row>
    <row r="13" spans="1:42" s="52" customFormat="1">
      <c r="A13" s="52">
        <v>25000</v>
      </c>
      <c r="B13" s="52">
        <v>8.6</v>
      </c>
      <c r="C13" s="52">
        <v>45.5</v>
      </c>
      <c r="D13" s="52">
        <v>343.1</v>
      </c>
      <c r="E13" s="52">
        <v>2000</v>
      </c>
      <c r="F13" s="52">
        <v>1848.0000000000007</v>
      </c>
      <c r="G13" s="53">
        <v>370.1</v>
      </c>
      <c r="H13" s="54">
        <v>2097.6206680666646</v>
      </c>
      <c r="I13" s="55">
        <v>2235.1924523771722</v>
      </c>
      <c r="K13" s="52">
        <v>25000</v>
      </c>
      <c r="L13" s="52">
        <v>8.6</v>
      </c>
      <c r="M13" s="52">
        <v>45.5</v>
      </c>
      <c r="N13" s="52">
        <v>343.1</v>
      </c>
      <c r="O13" s="52">
        <v>2000</v>
      </c>
      <c r="P13" s="52">
        <v>1848.0000000000007</v>
      </c>
      <c r="Q13" s="53">
        <v>370.1</v>
      </c>
      <c r="R13" s="54">
        <v>2097.6206680666646</v>
      </c>
      <c r="S13" s="55">
        <v>2235.1924523771722</v>
      </c>
      <c r="T13" s="53">
        <v>342.6</v>
      </c>
      <c r="U13" s="54">
        <v>1941.7585541195335</v>
      </c>
      <c r="V13" s="55">
        <v>2235.1924523771722</v>
      </c>
      <c r="X13" s="52">
        <v>25000</v>
      </c>
      <c r="Y13" s="52">
        <v>7.7</v>
      </c>
      <c r="Z13" s="52">
        <v>40.4</v>
      </c>
      <c r="AA13" s="52">
        <v>305.39999999999998</v>
      </c>
      <c r="AB13" s="52">
        <v>2222.2222222222213</v>
      </c>
      <c r="AC13" s="52">
        <v>1799.9999999999993</v>
      </c>
      <c r="AD13" s="53">
        <v>370.1</v>
      </c>
      <c r="AE13" s="54">
        <v>2345.2366008327708</v>
      </c>
      <c r="AF13" s="55">
        <v>1869.0524691614366</v>
      </c>
      <c r="AH13" s="52">
        <v>25000</v>
      </c>
      <c r="AI13" s="52">
        <v>7.4</v>
      </c>
      <c r="AJ13" s="52">
        <v>38.9</v>
      </c>
      <c r="AK13" s="52">
        <v>337.5</v>
      </c>
      <c r="AL13" s="52">
        <v>2499.9999999999977</v>
      </c>
      <c r="AM13" s="52">
        <v>2242.4999999999964</v>
      </c>
      <c r="AN13" s="53">
        <v>370.1</v>
      </c>
      <c r="AO13" s="54">
        <v>2520.5469153694189</v>
      </c>
      <c r="AP13" s="55">
        <v>2186.7518336489584</v>
      </c>
    </row>
    <row r="14" spans="1:42" s="52" customFormat="1">
      <c r="A14" s="52">
        <v>23000</v>
      </c>
      <c r="B14" s="52">
        <v>7.6</v>
      </c>
      <c r="C14" s="52">
        <v>39.5</v>
      </c>
      <c r="D14" s="52">
        <v>312.3</v>
      </c>
      <c r="E14" s="52">
        <v>2222.2222222222235</v>
      </c>
      <c r="F14" s="52">
        <v>1673.3333333333358</v>
      </c>
      <c r="G14" s="53">
        <v>359.3</v>
      </c>
      <c r="H14" s="54">
        <v>2289.262011365563</v>
      </c>
      <c r="I14" s="55">
        <v>2288.942642275108</v>
      </c>
      <c r="K14" s="52">
        <v>23000</v>
      </c>
      <c r="L14" s="52">
        <v>7.6</v>
      </c>
      <c r="M14" s="52">
        <v>39.5</v>
      </c>
      <c r="N14" s="52">
        <v>312.3</v>
      </c>
      <c r="O14" s="52">
        <v>2222.2222222222235</v>
      </c>
      <c r="P14" s="52">
        <v>1673.3333333333358</v>
      </c>
      <c r="Q14" s="53">
        <v>359.3</v>
      </c>
      <c r="R14" s="54">
        <v>2289.262011365563</v>
      </c>
      <c r="S14" s="55">
        <v>2288.942642275108</v>
      </c>
      <c r="T14" s="53">
        <v>331.6</v>
      </c>
      <c r="U14" s="54">
        <v>2112.7728443329274</v>
      </c>
      <c r="V14" s="55">
        <v>2288.942642275108</v>
      </c>
      <c r="X14" s="52">
        <v>23000</v>
      </c>
      <c r="Y14" s="52">
        <v>6.8</v>
      </c>
      <c r="Z14" s="52">
        <v>35.200000000000003</v>
      </c>
      <c r="AA14" s="52">
        <v>278.39999999999998</v>
      </c>
      <c r="AB14" s="52">
        <v>2500.0000000000005</v>
      </c>
      <c r="AC14" s="52">
        <v>1949.9999999999982</v>
      </c>
      <c r="AD14" s="53">
        <v>359.3</v>
      </c>
      <c r="AE14" s="54">
        <v>2536.2881350451307</v>
      </c>
      <c r="AF14" s="55">
        <v>1970.7121947866854</v>
      </c>
      <c r="AH14" s="52">
        <v>23000</v>
      </c>
      <c r="AI14" s="52">
        <v>6.6</v>
      </c>
      <c r="AJ14" s="52">
        <v>34</v>
      </c>
      <c r="AK14" s="52">
        <v>307.60000000000002</v>
      </c>
      <c r="AL14" s="52">
        <v>2500.0000000000005</v>
      </c>
      <c r="AM14" s="52">
        <v>2167.5000000000032</v>
      </c>
      <c r="AN14" s="53">
        <v>359.3</v>
      </c>
      <c r="AO14" s="54">
        <v>2717.8781345219322</v>
      </c>
      <c r="AP14" s="55">
        <v>2284.0552962701731</v>
      </c>
    </row>
    <row r="15" spans="1:42" s="52" customFormat="1">
      <c r="A15" s="52">
        <v>21000</v>
      </c>
      <c r="B15" s="52">
        <v>6.7</v>
      </c>
      <c r="C15" s="52">
        <v>34.200000000000003</v>
      </c>
      <c r="D15" s="52">
        <v>287.2</v>
      </c>
      <c r="E15" s="52">
        <v>2500.0000000000005</v>
      </c>
      <c r="F15" s="52">
        <v>2489.9999999999995</v>
      </c>
      <c r="G15" s="53">
        <v>348.1</v>
      </c>
      <c r="H15" s="54">
        <v>2471.3773985390517</v>
      </c>
      <c r="I15" s="55">
        <v>2344.566185177805</v>
      </c>
      <c r="K15" s="52">
        <v>21000</v>
      </c>
      <c r="L15" s="52">
        <v>6.7</v>
      </c>
      <c r="M15" s="52">
        <v>34.200000000000003</v>
      </c>
      <c r="N15" s="52">
        <v>287.2</v>
      </c>
      <c r="O15" s="52">
        <v>2500.0000000000005</v>
      </c>
      <c r="P15" s="52">
        <v>2489.9999999999995</v>
      </c>
      <c r="Q15" s="53">
        <v>348.1</v>
      </c>
      <c r="R15" s="54">
        <v>2471.3773985390517</v>
      </c>
      <c r="S15" s="55">
        <v>2344.566185177805</v>
      </c>
      <c r="T15" s="53">
        <v>321.2</v>
      </c>
      <c r="U15" s="54">
        <v>2280.397645535028</v>
      </c>
      <c r="V15" s="55">
        <v>2344.566185177805</v>
      </c>
      <c r="X15" s="52">
        <v>21000</v>
      </c>
      <c r="Y15" s="52">
        <v>6</v>
      </c>
      <c r="Z15" s="52">
        <v>30.5</v>
      </c>
      <c r="AA15" s="52">
        <v>252.4</v>
      </c>
      <c r="AB15" s="52">
        <v>2857.1428571428564</v>
      </c>
      <c r="AC15" s="52">
        <v>2168.5714285714289</v>
      </c>
      <c r="AD15" s="53">
        <v>348.1</v>
      </c>
      <c r="AE15" s="54">
        <v>2725.4798864877384</v>
      </c>
      <c r="AF15" s="55">
        <v>2074.3448078598385</v>
      </c>
      <c r="AH15" s="52">
        <v>21000</v>
      </c>
      <c r="AI15" s="52">
        <v>5.8</v>
      </c>
      <c r="AJ15" s="52">
        <v>29.5</v>
      </c>
      <c r="AK15" s="52">
        <v>278.7</v>
      </c>
      <c r="AL15" s="52">
        <v>2857.1428571428564</v>
      </c>
      <c r="AM15" s="52">
        <v>2399.9999999999995</v>
      </c>
      <c r="AN15" s="53">
        <v>348.1</v>
      </c>
      <c r="AO15" s="54">
        <v>2908.9518561029272</v>
      </c>
      <c r="AP15" s="55">
        <v>2384.9670057706389</v>
      </c>
    </row>
    <row r="16" spans="1:42" s="52" customFormat="1">
      <c r="A16" s="52">
        <v>19000</v>
      </c>
      <c r="B16" s="52">
        <v>5.9</v>
      </c>
      <c r="C16" s="52">
        <v>29.4</v>
      </c>
      <c r="D16" s="52">
        <v>254</v>
      </c>
      <c r="E16" s="52">
        <v>2857.1428571428564</v>
      </c>
      <c r="F16" s="52">
        <v>2382.8571428571431</v>
      </c>
      <c r="G16" s="53">
        <v>337.3</v>
      </c>
      <c r="H16" s="54">
        <v>2643.9668295871315</v>
      </c>
      <c r="I16" s="55">
        <v>2402.0630810852626</v>
      </c>
      <c r="K16" s="52">
        <v>19000</v>
      </c>
      <c r="L16" s="52">
        <v>5.9</v>
      </c>
      <c r="M16" s="52">
        <v>29.4</v>
      </c>
      <c r="N16" s="52">
        <v>254</v>
      </c>
      <c r="O16" s="52">
        <v>2857.1428571428564</v>
      </c>
      <c r="P16" s="52">
        <v>2382.8571428571431</v>
      </c>
      <c r="Q16" s="53">
        <v>337.3</v>
      </c>
      <c r="R16" s="54">
        <v>2643.9668295871315</v>
      </c>
      <c r="S16" s="55">
        <v>2402.0630810852626</v>
      </c>
      <c r="T16" s="53">
        <v>311.10000000000002</v>
      </c>
      <c r="U16" s="54">
        <v>2438.5949620058009</v>
      </c>
      <c r="V16" s="55">
        <v>2402.0630810852626</v>
      </c>
      <c r="X16" s="52">
        <v>19000</v>
      </c>
      <c r="Y16" s="52">
        <v>5.3</v>
      </c>
      <c r="Z16" s="52">
        <v>26.3</v>
      </c>
      <c r="AA16" s="52">
        <v>227.1</v>
      </c>
      <c r="AB16" s="52">
        <v>2857.1428571428564</v>
      </c>
      <c r="AC16" s="52">
        <v>2117.1428571428555</v>
      </c>
      <c r="AD16" s="53">
        <v>337.3</v>
      </c>
      <c r="AE16" s="54">
        <v>2912.8118551605949</v>
      </c>
      <c r="AF16" s="55">
        <v>2179.9503083808968</v>
      </c>
      <c r="AH16" s="52">
        <v>19000</v>
      </c>
      <c r="AI16" s="52">
        <v>5.0999999999999996</v>
      </c>
      <c r="AJ16" s="52">
        <v>25.5</v>
      </c>
      <c r="AK16" s="52">
        <v>250.7</v>
      </c>
      <c r="AL16" s="52">
        <v>3333.3333333333353</v>
      </c>
      <c r="AM16" s="52">
        <v>2739.9999999999991</v>
      </c>
      <c r="AN16" s="53">
        <v>337.3</v>
      </c>
      <c r="AO16" s="54">
        <v>3093.7680801124034</v>
      </c>
      <c r="AP16" s="55">
        <v>2489.4869621503567</v>
      </c>
    </row>
    <row r="17" spans="1:42" s="52" customFormat="1">
      <c r="A17" s="52">
        <v>17000</v>
      </c>
      <c r="B17" s="52">
        <v>5.2</v>
      </c>
      <c r="C17" s="52">
        <v>25.1</v>
      </c>
      <c r="D17" s="52">
        <v>226.2</v>
      </c>
      <c r="E17" s="52">
        <v>2500.0000000000005</v>
      </c>
      <c r="F17" s="52">
        <v>2047.4999999999991</v>
      </c>
      <c r="G17" s="53">
        <v>327</v>
      </c>
      <c r="H17" s="54">
        <v>2807.0303045098026</v>
      </c>
      <c r="I17" s="55">
        <v>2461.4333299974815</v>
      </c>
      <c r="K17" s="52">
        <v>17000</v>
      </c>
      <c r="L17" s="52">
        <v>5.2</v>
      </c>
      <c r="M17" s="52">
        <v>25.1</v>
      </c>
      <c r="N17" s="52">
        <v>226.2</v>
      </c>
      <c r="O17" s="52">
        <v>2500.0000000000005</v>
      </c>
      <c r="P17" s="52">
        <v>2047.4999999999991</v>
      </c>
      <c r="Q17" s="53">
        <v>327</v>
      </c>
      <c r="R17" s="54">
        <v>2807.0303045098026</v>
      </c>
      <c r="S17" s="55">
        <v>2461.4333299974815</v>
      </c>
      <c r="T17" s="53">
        <v>301.5</v>
      </c>
      <c r="U17" s="54">
        <v>2588.1334459012401</v>
      </c>
      <c r="V17" s="55">
        <v>2461.4333299974815</v>
      </c>
      <c r="X17" s="52">
        <v>17000</v>
      </c>
      <c r="Y17" s="52">
        <v>4.5999999999999996</v>
      </c>
      <c r="Z17" s="52">
        <v>22.5</v>
      </c>
      <c r="AA17" s="52">
        <v>202.4</v>
      </c>
      <c r="AB17" s="52">
        <v>3333.3333333333353</v>
      </c>
      <c r="AC17" s="52">
        <v>2420.0000000000032</v>
      </c>
      <c r="AD17" s="53">
        <v>327</v>
      </c>
      <c r="AE17" s="54">
        <v>3098.2840410636995</v>
      </c>
      <c r="AF17" s="55">
        <v>2287.5286963498606</v>
      </c>
      <c r="AH17" s="52">
        <v>17000</v>
      </c>
      <c r="AI17" s="52">
        <v>4.5</v>
      </c>
      <c r="AJ17" s="52">
        <v>21.8</v>
      </c>
      <c r="AK17" s="52">
        <v>223.3</v>
      </c>
      <c r="AL17" s="52">
        <v>3333.333333333333</v>
      </c>
      <c r="AM17" s="52">
        <v>2699.9999999999995</v>
      </c>
      <c r="AN17" s="53">
        <v>327</v>
      </c>
      <c r="AO17" s="54">
        <v>3272.3268065503598</v>
      </c>
      <c r="AP17" s="55">
        <v>2597.615165409326</v>
      </c>
    </row>
    <row r="18" spans="1:42" s="52" customFormat="1">
      <c r="A18" s="52">
        <v>15000</v>
      </c>
      <c r="B18" s="52">
        <v>4.4000000000000004</v>
      </c>
      <c r="C18" s="52">
        <v>21.3</v>
      </c>
      <c r="D18" s="52">
        <v>198.9</v>
      </c>
      <c r="E18" s="52">
        <v>3333.3333333333303</v>
      </c>
      <c r="F18" s="52">
        <v>2679.9999999999986</v>
      </c>
      <c r="G18" s="53">
        <v>317.10000000000002</v>
      </c>
      <c r="H18" s="54">
        <v>2960.5678233070639</v>
      </c>
      <c r="I18" s="55">
        <v>2522.6769319144614</v>
      </c>
      <c r="K18" s="52">
        <v>15000</v>
      </c>
      <c r="L18" s="52">
        <v>4.4000000000000004</v>
      </c>
      <c r="M18" s="52">
        <v>21.3</v>
      </c>
      <c r="N18" s="52">
        <v>198.9</v>
      </c>
      <c r="O18" s="52">
        <v>3333.3333333333303</v>
      </c>
      <c r="P18" s="52">
        <v>2679.9999999999986</v>
      </c>
      <c r="Q18" s="53">
        <v>317.10000000000002</v>
      </c>
      <c r="R18" s="54">
        <v>2960.5678233070639</v>
      </c>
      <c r="S18" s="55">
        <v>2522.6769319144614</v>
      </c>
      <c r="T18" s="53">
        <v>292.2</v>
      </c>
      <c r="U18" s="54">
        <v>2728.0918258288361</v>
      </c>
      <c r="V18" s="55">
        <v>2522.6769319144614</v>
      </c>
      <c r="X18" s="52">
        <v>15000</v>
      </c>
      <c r="Y18" s="52">
        <v>4</v>
      </c>
      <c r="Z18" s="52">
        <v>19</v>
      </c>
      <c r="AA18" s="52">
        <v>178.2</v>
      </c>
      <c r="AB18" s="52">
        <v>3333.333333333333</v>
      </c>
      <c r="AC18" s="52">
        <v>2389.9999999999973</v>
      </c>
      <c r="AD18" s="53">
        <v>317.10000000000002</v>
      </c>
      <c r="AE18" s="54">
        <v>3281.8964441970529</v>
      </c>
      <c r="AF18" s="55">
        <v>2397.0799717667287</v>
      </c>
      <c r="AH18" s="52">
        <v>15000</v>
      </c>
      <c r="AI18" s="52">
        <v>3.9</v>
      </c>
      <c r="AJ18" s="52">
        <v>18.5</v>
      </c>
      <c r="AK18" s="52">
        <v>196.3</v>
      </c>
      <c r="AL18" s="52">
        <v>3333.333333333333</v>
      </c>
      <c r="AM18" s="52">
        <v>2649.9999999999995</v>
      </c>
      <c r="AN18" s="53">
        <v>317.10000000000002</v>
      </c>
      <c r="AO18" s="54">
        <v>3444.6280354167975</v>
      </c>
      <c r="AP18" s="55">
        <v>2709.3516155475472</v>
      </c>
    </row>
    <row r="19" spans="1:42" s="52" customFormat="1">
      <c r="A19" s="52">
        <v>13000</v>
      </c>
      <c r="B19" s="52">
        <v>3.8</v>
      </c>
      <c r="C19" s="52">
        <v>17.7</v>
      </c>
      <c r="D19" s="52">
        <v>172.1</v>
      </c>
      <c r="E19" s="52">
        <v>2857.1428571428582</v>
      </c>
      <c r="F19" s="52">
        <v>2271.4285714285725</v>
      </c>
      <c r="G19" s="53">
        <v>307.60000000000002</v>
      </c>
      <c r="H19" s="54">
        <v>3104.5793859789164</v>
      </c>
      <c r="I19" s="55">
        <v>2585.7938868362025</v>
      </c>
      <c r="K19" s="52">
        <v>13000</v>
      </c>
      <c r="L19" s="52">
        <v>3.8</v>
      </c>
      <c r="M19" s="52">
        <v>17.7</v>
      </c>
      <c r="N19" s="52">
        <v>172.1</v>
      </c>
      <c r="O19" s="52">
        <v>2857.1428571428582</v>
      </c>
      <c r="P19" s="52">
        <v>2271.4285714285725</v>
      </c>
      <c r="Q19" s="53">
        <v>307.60000000000002</v>
      </c>
      <c r="R19" s="54">
        <v>3104.5793859789164</v>
      </c>
      <c r="S19" s="55">
        <v>2585.7938868362025</v>
      </c>
      <c r="T19" s="53">
        <v>283.39999999999998</v>
      </c>
      <c r="U19" s="54">
        <v>2860.3309427387021</v>
      </c>
      <c r="V19" s="55">
        <v>2585.7938868362025</v>
      </c>
      <c r="X19" s="52">
        <v>13000</v>
      </c>
      <c r="Y19" s="52">
        <v>3.4</v>
      </c>
      <c r="Z19" s="52">
        <v>15.9</v>
      </c>
      <c r="AA19" s="52">
        <v>154.30000000000001</v>
      </c>
      <c r="AB19" s="52">
        <v>3333.333333333333</v>
      </c>
      <c r="AC19" s="52">
        <v>2370.0000000000014</v>
      </c>
      <c r="AD19" s="53">
        <v>307.60000000000002</v>
      </c>
      <c r="AE19" s="54">
        <v>3463.6490645606546</v>
      </c>
      <c r="AF19" s="55">
        <v>2508.6041346315019</v>
      </c>
      <c r="AH19" s="52">
        <v>13000</v>
      </c>
      <c r="AI19" s="52">
        <v>3.3</v>
      </c>
      <c r="AJ19" s="52">
        <v>15.4</v>
      </c>
      <c r="AK19" s="52">
        <v>169.8</v>
      </c>
      <c r="AL19" s="52">
        <v>3333.3333333333353</v>
      </c>
      <c r="AM19" s="52">
        <v>2630.0000000000027</v>
      </c>
      <c r="AN19" s="53">
        <v>307.60000000000002</v>
      </c>
      <c r="AO19" s="54">
        <v>3610.6717667117164</v>
      </c>
      <c r="AP19" s="55">
        <v>2824.6963125650195</v>
      </c>
    </row>
    <row r="20" spans="1:42" s="52" customFormat="1">
      <c r="A20" s="52">
        <v>11000</v>
      </c>
      <c r="B20" s="52">
        <v>3.1</v>
      </c>
      <c r="C20" s="52">
        <v>14.5</v>
      </c>
      <c r="D20" s="52">
        <v>145.6</v>
      </c>
      <c r="E20" s="52">
        <v>3333.333333333333</v>
      </c>
      <c r="F20" s="52">
        <v>2619.9999999999986</v>
      </c>
      <c r="G20" s="53">
        <v>298.5</v>
      </c>
      <c r="H20" s="54">
        <v>3239.0649925253597</v>
      </c>
      <c r="I20" s="55">
        <v>2650.7841947627048</v>
      </c>
      <c r="K20" s="52">
        <v>11000</v>
      </c>
      <c r="L20" s="52">
        <v>3.1</v>
      </c>
      <c r="M20" s="52">
        <v>14.5</v>
      </c>
      <c r="N20" s="52">
        <v>145.6</v>
      </c>
      <c r="O20" s="52">
        <v>3333.333333333333</v>
      </c>
      <c r="P20" s="52">
        <v>2619.9999999999986</v>
      </c>
      <c r="Q20" s="53">
        <v>298.5</v>
      </c>
      <c r="R20" s="54">
        <v>3239.0649925253597</v>
      </c>
      <c r="S20" s="55">
        <v>2650.7841947627048</v>
      </c>
      <c r="T20" s="53">
        <v>275</v>
      </c>
      <c r="U20" s="54">
        <v>2984.0632259446365</v>
      </c>
      <c r="V20" s="55">
        <v>2650.7841947627048</v>
      </c>
      <c r="X20" s="52">
        <v>11000</v>
      </c>
      <c r="Y20" s="52">
        <v>2.8</v>
      </c>
      <c r="Z20" s="52">
        <v>13</v>
      </c>
      <c r="AA20" s="52">
        <v>130.6</v>
      </c>
      <c r="AB20" s="52">
        <v>3333.3333333333353</v>
      </c>
      <c r="AC20" s="52">
        <v>2350.0000000000014</v>
      </c>
      <c r="AD20" s="53">
        <v>298.5</v>
      </c>
      <c r="AE20" s="54">
        <v>3643.5419021545044</v>
      </c>
      <c r="AF20" s="55">
        <v>2622.1011849441802</v>
      </c>
      <c r="AH20" s="52">
        <v>11000</v>
      </c>
      <c r="AI20" s="52">
        <v>2.7</v>
      </c>
      <c r="AJ20" s="52">
        <v>12.5</v>
      </c>
      <c r="AK20" s="52">
        <v>143.5</v>
      </c>
      <c r="AL20" s="52">
        <v>4000</v>
      </c>
      <c r="AM20" s="52">
        <v>3131.9999999999991</v>
      </c>
      <c r="AN20" s="53">
        <v>298.5</v>
      </c>
      <c r="AO20" s="54">
        <v>3770.4580004351155</v>
      </c>
      <c r="AP20" s="55">
        <v>2943.6492564617438</v>
      </c>
    </row>
    <row r="21" spans="1:42" s="52" customFormat="1">
      <c r="A21" s="52">
        <v>9000</v>
      </c>
      <c r="B21" s="52">
        <v>2.5</v>
      </c>
      <c r="C21" s="52">
        <v>11.4</v>
      </c>
      <c r="D21" s="52">
        <v>119.4</v>
      </c>
      <c r="E21" s="52">
        <v>3333.333333333333</v>
      </c>
      <c r="F21" s="52">
        <v>2630.0000000000009</v>
      </c>
      <c r="G21" s="53">
        <v>289.7</v>
      </c>
      <c r="H21" s="54">
        <v>3364.0246429463941</v>
      </c>
      <c r="I21" s="55">
        <v>2717.6478556939678</v>
      </c>
      <c r="K21" s="52">
        <v>9000</v>
      </c>
      <c r="L21" s="52">
        <v>2.5</v>
      </c>
      <c r="M21" s="52">
        <v>11.4</v>
      </c>
      <c r="N21" s="52">
        <v>119.4</v>
      </c>
      <c r="O21" s="52">
        <v>3333.333333333333</v>
      </c>
      <c r="P21" s="52">
        <v>2630.0000000000009</v>
      </c>
      <c r="Q21" s="53">
        <v>289.7</v>
      </c>
      <c r="R21" s="54">
        <v>3364.0246429463941</v>
      </c>
      <c r="S21" s="55">
        <v>2717.6478556939678</v>
      </c>
      <c r="T21" s="53">
        <v>266.8</v>
      </c>
      <c r="U21" s="54">
        <v>3098.107610418012</v>
      </c>
      <c r="V21" s="55">
        <v>2717.6478556939678</v>
      </c>
      <c r="X21" s="52">
        <v>9000</v>
      </c>
      <c r="Y21" s="52">
        <v>2.2000000000000002</v>
      </c>
      <c r="Z21" s="52">
        <v>10.3</v>
      </c>
      <c r="AA21" s="52">
        <v>107.1</v>
      </c>
      <c r="AB21" s="52">
        <v>3999.9999999999982</v>
      </c>
      <c r="AC21" s="52">
        <v>2819.9999999999986</v>
      </c>
      <c r="AD21" s="53">
        <v>289.7</v>
      </c>
      <c r="AE21" s="54">
        <v>3821.574956978603</v>
      </c>
      <c r="AF21" s="55">
        <v>2737.5711227047632</v>
      </c>
      <c r="AH21" s="52">
        <v>9000</v>
      </c>
      <c r="AI21" s="52">
        <v>2.2000000000000002</v>
      </c>
      <c r="AJ21" s="52">
        <v>9.9</v>
      </c>
      <c r="AK21" s="52">
        <v>117.4</v>
      </c>
      <c r="AL21" s="52">
        <v>3999.9999999999982</v>
      </c>
      <c r="AM21" s="52">
        <v>3119.9999999999986</v>
      </c>
      <c r="AN21" s="53">
        <v>289.7</v>
      </c>
      <c r="AO21" s="54">
        <v>3923.9867365869964</v>
      </c>
      <c r="AP21" s="55">
        <v>3066.2104472377196</v>
      </c>
    </row>
    <row r="22" spans="1:42" s="52" customFormat="1">
      <c r="A22" s="52">
        <v>7000</v>
      </c>
      <c r="B22" s="52">
        <v>1.9</v>
      </c>
      <c r="C22" s="52">
        <v>8.6</v>
      </c>
      <c r="D22" s="52">
        <v>93.1</v>
      </c>
      <c r="E22" s="52">
        <v>4000</v>
      </c>
      <c r="F22" s="52">
        <v>3155.9999999999995</v>
      </c>
      <c r="G22" s="53">
        <v>281.3</v>
      </c>
      <c r="H22" s="54">
        <v>3479.4583372420188</v>
      </c>
      <c r="I22" s="55">
        <v>2786.384869629992</v>
      </c>
      <c r="K22" s="52">
        <v>7000</v>
      </c>
      <c r="L22" s="52">
        <v>1.9</v>
      </c>
      <c r="M22" s="52">
        <v>8.6</v>
      </c>
      <c r="N22" s="52">
        <v>93.1</v>
      </c>
      <c r="O22" s="52">
        <v>4000</v>
      </c>
      <c r="P22" s="52">
        <v>3155.9999999999995</v>
      </c>
      <c r="Q22" s="53">
        <v>281.3</v>
      </c>
      <c r="R22" s="54">
        <v>3479.4583372420188</v>
      </c>
      <c r="S22" s="55">
        <v>2786.384869629992</v>
      </c>
      <c r="T22" s="53">
        <v>259</v>
      </c>
      <c r="U22" s="54">
        <v>3203.6249887866438</v>
      </c>
      <c r="V22" s="55">
        <v>2786.384869629992</v>
      </c>
      <c r="X22" s="52">
        <v>7000</v>
      </c>
      <c r="Y22" s="52">
        <v>1.7</v>
      </c>
      <c r="Z22" s="52">
        <v>7.7</v>
      </c>
      <c r="AA22" s="52">
        <v>83.6</v>
      </c>
      <c r="AB22" s="52">
        <v>4000</v>
      </c>
      <c r="AC22" s="52">
        <v>2843.9999999999995</v>
      </c>
      <c r="AD22" s="53">
        <v>281.3</v>
      </c>
      <c r="AE22" s="54">
        <v>3997.7482290329499</v>
      </c>
      <c r="AF22" s="55">
        <v>2855.0139479132508</v>
      </c>
      <c r="AH22" s="52">
        <v>7000</v>
      </c>
      <c r="AI22" s="52">
        <v>1.7</v>
      </c>
      <c r="AJ22" s="52">
        <v>7.4</v>
      </c>
      <c r="AK22" s="52">
        <v>91.4</v>
      </c>
      <c r="AL22" s="52">
        <v>4000</v>
      </c>
      <c r="AM22" s="52">
        <v>3120</v>
      </c>
      <c r="AN22" s="53">
        <v>281.3</v>
      </c>
      <c r="AO22" s="54">
        <v>4071.2579751673575</v>
      </c>
      <c r="AP22" s="55">
        <v>3192.3798848929473</v>
      </c>
    </row>
    <row r="23" spans="1:42" s="52" customFormat="1">
      <c r="A23" s="52">
        <v>5000</v>
      </c>
      <c r="B23" s="52">
        <v>1.4</v>
      </c>
      <c r="C23" s="52">
        <v>6</v>
      </c>
      <c r="D23" s="52">
        <v>66.8</v>
      </c>
      <c r="E23" s="52">
        <v>3333.3333333333339</v>
      </c>
      <c r="F23" s="52">
        <v>2660</v>
      </c>
      <c r="G23" s="53">
        <v>273.2</v>
      </c>
      <c r="H23" s="54">
        <v>3585.3660754122347</v>
      </c>
      <c r="I23" s="55">
        <v>2856.9952365707773</v>
      </c>
      <c r="K23" s="52">
        <v>5000</v>
      </c>
      <c r="L23" s="52">
        <v>1.4</v>
      </c>
      <c r="M23" s="52">
        <v>6</v>
      </c>
      <c r="N23" s="52">
        <v>66.8</v>
      </c>
      <c r="O23" s="52">
        <v>3333.3333333333339</v>
      </c>
      <c r="P23" s="52">
        <v>2660</v>
      </c>
      <c r="Q23" s="53">
        <v>273.2</v>
      </c>
      <c r="R23" s="54">
        <v>3585.3660754122347</v>
      </c>
      <c r="S23" s="55">
        <v>2856.9952365707773</v>
      </c>
      <c r="T23" s="53">
        <v>251.5</v>
      </c>
      <c r="U23" s="54">
        <v>3300.5840701543816</v>
      </c>
      <c r="V23" s="55">
        <v>2856.9952365707773</v>
      </c>
      <c r="X23" s="52">
        <v>5000</v>
      </c>
      <c r="Y23" s="52">
        <v>1.2</v>
      </c>
      <c r="Z23" s="52">
        <v>5.4</v>
      </c>
      <c r="AA23" s="52">
        <v>59.9</v>
      </c>
      <c r="AB23" s="52">
        <v>4000</v>
      </c>
      <c r="AC23" s="52">
        <v>2843.9999999999995</v>
      </c>
      <c r="AD23" s="53">
        <v>273.2</v>
      </c>
      <c r="AE23" s="54">
        <v>4172.0617183175455</v>
      </c>
      <c r="AF23" s="55">
        <v>2974.4296605696436</v>
      </c>
      <c r="AH23" s="52">
        <v>5000</v>
      </c>
      <c r="AI23" s="52">
        <v>1.2</v>
      </c>
      <c r="AJ23" s="52">
        <v>5.0999999999999996</v>
      </c>
      <c r="AK23" s="52">
        <v>65.400000000000006</v>
      </c>
      <c r="AL23" s="52">
        <v>4000</v>
      </c>
      <c r="AM23" s="52">
        <v>3132.0000000000009</v>
      </c>
      <c r="AN23" s="53">
        <v>273.2</v>
      </c>
      <c r="AO23" s="54">
        <v>4212.2717161762002</v>
      </c>
      <c r="AP23" s="55">
        <v>3322.1575694274261</v>
      </c>
    </row>
    <row r="24" spans="1:42" s="52" customFormat="1">
      <c r="A24" s="52">
        <v>3000</v>
      </c>
      <c r="B24" s="52">
        <v>0.8</v>
      </c>
      <c r="C24" s="52">
        <v>3.5</v>
      </c>
      <c r="D24" s="52">
        <v>40.200000000000003</v>
      </c>
      <c r="E24" s="52">
        <v>4000</v>
      </c>
      <c r="F24" s="52">
        <v>3204.0000000000005</v>
      </c>
      <c r="G24" s="53">
        <v>265.39999999999998</v>
      </c>
      <c r="H24" s="54">
        <v>3681.7478574570418</v>
      </c>
      <c r="I24" s="55">
        <v>2929.4789565163233</v>
      </c>
      <c r="K24" s="52">
        <v>3000</v>
      </c>
      <c r="L24" s="52">
        <v>0.8</v>
      </c>
      <c r="M24" s="52">
        <v>3.5</v>
      </c>
      <c r="N24" s="52">
        <v>40.200000000000003</v>
      </c>
      <c r="O24" s="52">
        <v>4000</v>
      </c>
      <c r="P24" s="52">
        <v>3204.0000000000005</v>
      </c>
      <c r="Q24" s="53">
        <v>265.39999999999998</v>
      </c>
      <c r="R24" s="54">
        <v>3681.7478574570418</v>
      </c>
      <c r="S24" s="55">
        <v>2929.4789565163233</v>
      </c>
      <c r="T24" s="53">
        <v>244</v>
      </c>
      <c r="U24" s="54">
        <v>3384.8774574963013</v>
      </c>
      <c r="V24" s="55">
        <v>2929.4789565163233</v>
      </c>
      <c r="X24" s="52">
        <v>3000</v>
      </c>
      <c r="Y24" s="52">
        <v>0.7</v>
      </c>
      <c r="Z24" s="52">
        <v>3.1</v>
      </c>
      <c r="AA24" s="52">
        <v>36.200000000000003</v>
      </c>
      <c r="AB24" s="52">
        <v>4000.0000000000005</v>
      </c>
      <c r="AC24" s="52">
        <v>2892.0000000000005</v>
      </c>
      <c r="AD24" s="53">
        <v>265.39999999999998</v>
      </c>
      <c r="AE24" s="54">
        <v>4344.5154248323888</v>
      </c>
      <c r="AF24" s="55">
        <v>3095.8182606739415</v>
      </c>
      <c r="AH24" s="52">
        <v>3000</v>
      </c>
      <c r="AI24" s="52">
        <v>0.7</v>
      </c>
      <c r="AJ24" s="52">
        <v>3</v>
      </c>
      <c r="AK24" s="52">
        <v>39.299999999999997</v>
      </c>
      <c r="AL24" s="52">
        <v>4000.0000000000005</v>
      </c>
      <c r="AM24" s="52">
        <v>3132</v>
      </c>
      <c r="AN24" s="53">
        <v>265.39999999999998</v>
      </c>
      <c r="AO24" s="54">
        <v>4347.0279596135233</v>
      </c>
      <c r="AP24" s="55">
        <v>3455.5435008411569</v>
      </c>
    </row>
    <row r="25" spans="1:42" s="52" customFormat="1">
      <c r="A25" s="52">
        <v>1000</v>
      </c>
      <c r="B25" s="52">
        <v>0.3</v>
      </c>
      <c r="C25" s="52">
        <v>1.1000000000000001</v>
      </c>
      <c r="D25" s="52">
        <v>13.5</v>
      </c>
      <c r="E25" s="52">
        <v>3333.3333333333335</v>
      </c>
      <c r="F25" s="52">
        <v>2700</v>
      </c>
      <c r="G25" s="56">
        <v>257.89999999999998</v>
      </c>
      <c r="H25" s="57">
        <v>3768.6036833764397</v>
      </c>
      <c r="I25" s="58">
        <v>3003.8360294666309</v>
      </c>
      <c r="K25" s="52">
        <v>1000</v>
      </c>
      <c r="L25" s="52">
        <v>0.3</v>
      </c>
      <c r="M25" s="52">
        <v>1.1000000000000001</v>
      </c>
      <c r="N25" s="52">
        <v>13.5</v>
      </c>
      <c r="O25" s="52">
        <v>3333.3333333333335</v>
      </c>
      <c r="P25" s="52">
        <v>2700</v>
      </c>
      <c r="Q25" s="56">
        <v>257.89999999999998</v>
      </c>
      <c r="R25" s="57">
        <v>3768.6036833764397</v>
      </c>
      <c r="S25" s="58">
        <v>3003.8360294666309</v>
      </c>
      <c r="T25" s="56">
        <v>237</v>
      </c>
      <c r="U25" s="57">
        <v>3463.1991972090591</v>
      </c>
      <c r="V25" s="58">
        <v>3003.8360294666309</v>
      </c>
      <c r="X25" s="52">
        <v>1000</v>
      </c>
      <c r="Y25" s="52">
        <v>0.2</v>
      </c>
      <c r="Z25" s="52">
        <v>1</v>
      </c>
      <c r="AA25" s="52">
        <v>12.1</v>
      </c>
      <c r="AB25" s="52">
        <v>5000</v>
      </c>
      <c r="AC25" s="52">
        <v>3630</v>
      </c>
      <c r="AD25" s="56">
        <v>257.89999999999998</v>
      </c>
      <c r="AE25" s="57">
        <v>4515.1093485774809</v>
      </c>
      <c r="AF25" s="58">
        <v>3219.1797482261441</v>
      </c>
      <c r="AH25" s="52">
        <v>1000</v>
      </c>
      <c r="AI25" s="52">
        <v>0.2</v>
      </c>
      <c r="AJ25" s="52">
        <v>1</v>
      </c>
      <c r="AK25" s="52">
        <v>13.2</v>
      </c>
      <c r="AL25" s="52">
        <v>5000</v>
      </c>
      <c r="AM25" s="52">
        <v>3960</v>
      </c>
      <c r="AN25" s="56">
        <v>257.89999999999998</v>
      </c>
      <c r="AO25" s="57">
        <v>4475.5267054793276</v>
      </c>
      <c r="AP25" s="58">
        <v>3592.5376791341396</v>
      </c>
    </row>
    <row r="34" spans="7:7">
      <c r="G34" s="4"/>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2F712-4A4D-4528-BFD9-9629BB937CA9}">
  <sheetPr codeName="Sheet5"/>
  <dimension ref="A1:O242"/>
  <sheetViews>
    <sheetView zoomScale="85" zoomScaleNormal="85" workbookViewId="0">
      <selection activeCell="H30" sqref="H30"/>
    </sheetView>
  </sheetViews>
  <sheetFormatPr defaultRowHeight="15"/>
  <cols>
    <col min="3" max="3" width="19.42578125" customWidth="1"/>
    <col min="4" max="4" width="12.42578125" customWidth="1"/>
    <col min="7" max="7" width="17.5703125" customWidth="1"/>
    <col min="11" max="11" width="17.42578125" customWidth="1"/>
    <col min="15" max="15" width="17.7109375" customWidth="1"/>
  </cols>
  <sheetData>
    <row r="1" spans="1:15">
      <c r="A1" s="59" t="s">
        <v>131</v>
      </c>
      <c r="B1" s="59" t="s">
        <v>185</v>
      </c>
      <c r="C1" s="59" t="s">
        <v>200</v>
      </c>
      <c r="E1" s="59" t="s">
        <v>188</v>
      </c>
      <c r="F1" s="59" t="s">
        <v>185</v>
      </c>
      <c r="G1" s="59" t="s">
        <v>201</v>
      </c>
      <c r="H1" s="7"/>
      <c r="I1" s="59" t="s">
        <v>159</v>
      </c>
      <c r="J1" s="59" t="s">
        <v>192</v>
      </c>
      <c r="K1" s="59" t="s">
        <v>202</v>
      </c>
      <c r="M1" s="59" t="s">
        <v>165</v>
      </c>
      <c r="N1" s="59" t="s">
        <v>193</v>
      </c>
      <c r="O1" s="59" t="s">
        <v>202</v>
      </c>
    </row>
    <row r="2" spans="1:15">
      <c r="A2" s="59"/>
      <c r="B2" s="59" t="s">
        <v>199</v>
      </c>
      <c r="C2" s="59" t="s">
        <v>203</v>
      </c>
      <c r="E2" s="59"/>
      <c r="F2" s="59" t="s">
        <v>199</v>
      </c>
      <c r="G2" s="59" t="s">
        <v>203</v>
      </c>
      <c r="I2" s="59"/>
      <c r="J2" s="59" t="s">
        <v>199</v>
      </c>
      <c r="K2" s="59" t="s">
        <v>203</v>
      </c>
      <c r="M2" s="59"/>
      <c r="N2" s="59" t="s">
        <v>199</v>
      </c>
      <c r="O2" s="59" t="s">
        <v>203</v>
      </c>
    </row>
    <row r="3" spans="1:15">
      <c r="A3">
        <v>45000</v>
      </c>
      <c r="B3" s="4">
        <f t="shared" ref="B3:B24" si="0">1.81688301838087E-12*A3^3-3.06211926557797E-07*A3^2+0.0146805412821552*A3+228.389733768029</f>
        <v>434.49840523543094</v>
      </c>
      <c r="C3" s="4">
        <f t="shared" ref="C3:C25" si="1">2.77724786989748E-11*A3^3-6.78148795004579E-07*A3^2-0.0860474658050521*A3+4000</f>
        <v>1285.3798503324615</v>
      </c>
      <c r="E3">
        <v>45000</v>
      </c>
      <c r="F3" s="4">
        <f>B3-30</f>
        <v>404.49840523543094</v>
      </c>
      <c r="G3" s="4">
        <f t="shared" ref="G3:G25" si="2">2.77724786989748E-11*E3^3-6.78148795004579E-07*E3^2-0.0860474658050521*E3+4000</f>
        <v>1285.3798503324615</v>
      </c>
      <c r="I3">
        <v>45000</v>
      </c>
      <c r="J3" s="4">
        <f t="shared" ref="J3:J25" si="3">B3</f>
        <v>434.49840523543094</v>
      </c>
      <c r="K3" s="4">
        <f t="shared" ref="K3:K25" si="4">-8.1454044079719E-17*I3^4+3.65069309418015E-11*I3^3-1.26870230943155E-06*I3^2-0.0753958733112086*I3+4000</f>
        <v>1030.745116963988</v>
      </c>
      <c r="M3">
        <v>45000</v>
      </c>
      <c r="N3" s="4">
        <f t="shared" ref="N3:N25" si="5">J3</f>
        <v>434.49840523543094</v>
      </c>
      <c r="O3" s="4">
        <f t="shared" ref="O3:O25" si="6">1.92376372730875E-06*M3^2-0.169615580269683*M3+5000</f>
        <v>1262.9204356644836</v>
      </c>
    </row>
    <row r="4" spans="1:15">
      <c r="A4">
        <v>43000</v>
      </c>
      <c r="B4" s="4">
        <f t="shared" si="0"/>
        <v>437.92207483774371</v>
      </c>
      <c r="C4" s="4">
        <f t="shared" si="1"/>
        <v>1254.1683123386829</v>
      </c>
      <c r="E4">
        <v>43000</v>
      </c>
      <c r="F4" s="4">
        <f t="shared" ref="F4:F25" si="7">B4-30</f>
        <v>407.92207483774371</v>
      </c>
      <c r="G4" s="4">
        <f t="shared" si="2"/>
        <v>1254.1683123386829</v>
      </c>
      <c r="I4">
        <v>43000</v>
      </c>
      <c r="J4" s="4">
        <f t="shared" si="3"/>
        <v>437.92207483774371</v>
      </c>
      <c r="K4" s="4">
        <f t="shared" si="4"/>
        <v>1036.2282685151185</v>
      </c>
      <c r="M4">
        <v>43000</v>
      </c>
      <c r="N4" s="4">
        <f t="shared" si="5"/>
        <v>437.92207483774371</v>
      </c>
      <c r="O4" s="4">
        <f t="shared" si="6"/>
        <v>1263.5691801975099</v>
      </c>
    </row>
    <row r="5" spans="1:15">
      <c r="A5">
        <v>41000</v>
      </c>
      <c r="B5" s="4">
        <f t="shared" si="0"/>
        <v>440.77107230256354</v>
      </c>
      <c r="C5" s="4">
        <f t="shared" si="1"/>
        <v>1246.1927820022083</v>
      </c>
      <c r="E5">
        <v>41000</v>
      </c>
      <c r="F5" s="4">
        <f t="shared" si="7"/>
        <v>410.77107230256354</v>
      </c>
      <c r="G5" s="4">
        <f t="shared" si="2"/>
        <v>1246.1927820022083</v>
      </c>
      <c r="I5">
        <v>41000</v>
      </c>
      <c r="J5" s="4">
        <f t="shared" si="3"/>
        <v>440.77107230256354</v>
      </c>
      <c r="K5" s="4">
        <f t="shared" si="4"/>
        <v>1062.0051384731619</v>
      </c>
      <c r="M5">
        <v>41000</v>
      </c>
      <c r="N5" s="4">
        <f t="shared" si="5"/>
        <v>440.77107230256354</v>
      </c>
      <c r="O5" s="4">
        <f t="shared" si="6"/>
        <v>1279.6080345490059</v>
      </c>
    </row>
    <row r="6" spans="1:15">
      <c r="A6">
        <v>39000</v>
      </c>
      <c r="B6" s="4">
        <f t="shared" si="0"/>
        <v>442.95818724500737</v>
      </c>
      <c r="C6" s="4">
        <f t="shared" si="1"/>
        <v>1260.1201803454896</v>
      </c>
      <c r="E6">
        <v>39000</v>
      </c>
      <c r="F6" s="4">
        <f t="shared" si="7"/>
        <v>412.95818724500737</v>
      </c>
      <c r="G6" s="4">
        <f t="shared" si="2"/>
        <v>1260.1201803454896</v>
      </c>
      <c r="I6">
        <v>39000</v>
      </c>
      <c r="J6" s="4">
        <f t="shared" si="3"/>
        <v>442.95818724500737</v>
      </c>
      <c r="K6" s="4">
        <f t="shared" si="4"/>
        <v>1106.980239564371</v>
      </c>
      <c r="M6">
        <v>39000</v>
      </c>
      <c r="N6" s="4">
        <f t="shared" si="5"/>
        <v>442.95818724500737</v>
      </c>
      <c r="O6" s="4">
        <f t="shared" si="6"/>
        <v>1311.036998718972</v>
      </c>
    </row>
    <row r="7" spans="1:15">
      <c r="A7">
        <v>37000</v>
      </c>
      <c r="B7" s="4">
        <f t="shared" si="0"/>
        <v>444.39620928019349</v>
      </c>
      <c r="C7" s="4">
        <f t="shared" si="1"/>
        <v>1294.6174283909745</v>
      </c>
      <c r="E7">
        <v>37000</v>
      </c>
      <c r="F7" s="4">
        <f t="shared" si="7"/>
        <v>414.39620928019349</v>
      </c>
      <c r="G7" s="4">
        <f t="shared" si="2"/>
        <v>1294.6174283909745</v>
      </c>
      <c r="I7">
        <v>37000</v>
      </c>
      <c r="J7" s="4">
        <f t="shared" si="3"/>
        <v>444.39620928019349</v>
      </c>
      <c r="K7" s="4">
        <f t="shared" si="4"/>
        <v>1170.0268061620709</v>
      </c>
      <c r="M7">
        <v>37000</v>
      </c>
      <c r="N7" s="4">
        <f t="shared" si="5"/>
        <v>444.39620928019349</v>
      </c>
      <c r="O7" s="4">
        <f t="shared" si="6"/>
        <v>1357.8560727074082</v>
      </c>
    </row>
    <row r="8" spans="1:15">
      <c r="A8">
        <v>35000</v>
      </c>
      <c r="B8" s="4">
        <f t="shared" si="0"/>
        <v>444.99792802323952</v>
      </c>
      <c r="C8" s="4">
        <f t="shared" si="1"/>
        <v>1348.351447161112</v>
      </c>
      <c r="E8">
        <v>35000</v>
      </c>
      <c r="F8" s="4">
        <f t="shared" si="7"/>
        <v>414.99792802323952</v>
      </c>
      <c r="G8" s="4">
        <f t="shared" si="2"/>
        <v>1348.351447161112</v>
      </c>
      <c r="I8">
        <v>35000</v>
      </c>
      <c r="J8" s="4">
        <f t="shared" si="3"/>
        <v>444.99792802323952</v>
      </c>
      <c r="K8" s="4">
        <f t="shared" si="4"/>
        <v>1249.9867942866613</v>
      </c>
      <c r="M8">
        <v>35000</v>
      </c>
      <c r="N8" s="4">
        <f t="shared" si="5"/>
        <v>444.99792802323952</v>
      </c>
      <c r="O8" s="4">
        <f t="shared" si="6"/>
        <v>1420.0652565143137</v>
      </c>
    </row>
    <row r="9" spans="1:15">
      <c r="A9">
        <v>33000</v>
      </c>
      <c r="B9" s="4">
        <f t="shared" si="0"/>
        <v>444.67613308926298</v>
      </c>
      <c r="C9" s="4">
        <f t="shared" si="1"/>
        <v>1419.9891576783516</v>
      </c>
      <c r="E9">
        <v>33000</v>
      </c>
      <c r="F9" s="4">
        <f t="shared" si="7"/>
        <v>414.67613308926298</v>
      </c>
      <c r="G9" s="4">
        <f t="shared" si="2"/>
        <v>1419.9891576783516</v>
      </c>
      <c r="I9">
        <v>33000</v>
      </c>
      <c r="J9" s="4">
        <f t="shared" si="3"/>
        <v>444.67613308926298</v>
      </c>
      <c r="K9" s="4">
        <f t="shared" si="4"/>
        <v>1345.6708816056143</v>
      </c>
      <c r="M9">
        <v>33000</v>
      </c>
      <c r="N9" s="4">
        <f t="shared" si="5"/>
        <v>444.67613308926298</v>
      </c>
      <c r="O9" s="4">
        <f t="shared" si="6"/>
        <v>1497.6645501396897</v>
      </c>
    </row>
    <row r="10" spans="1:15">
      <c r="A10">
        <v>31000</v>
      </c>
      <c r="B10" s="4">
        <f>1.81688301838087E-12*A10^3-3.06211926557797E-07*A10^2+0.0146805412821552*A10+228.389733768029</f>
        <v>443.3436140933818</v>
      </c>
      <c r="C10" s="4">
        <f t="shared" si="1"/>
        <v>1508.1974809651429</v>
      </c>
      <c r="E10">
        <v>31000</v>
      </c>
      <c r="F10" s="4">
        <f t="shared" si="7"/>
        <v>413.3436140933818</v>
      </c>
      <c r="G10" s="4">
        <f t="shared" si="2"/>
        <v>1508.1974809651429</v>
      </c>
      <c r="I10">
        <v>31000</v>
      </c>
      <c r="J10" s="4">
        <f t="shared" si="3"/>
        <v>443.3436140933818</v>
      </c>
      <c r="K10" s="4">
        <f t="shared" si="4"/>
        <v>1455.8584674334761</v>
      </c>
      <c r="M10">
        <v>31000</v>
      </c>
      <c r="N10" s="4">
        <f t="shared" si="5"/>
        <v>443.3436140933818</v>
      </c>
      <c r="O10" s="4">
        <f t="shared" si="6"/>
        <v>1590.6539535835359</v>
      </c>
    </row>
    <row r="11" spans="1:15">
      <c r="A11">
        <v>29000</v>
      </c>
      <c r="B11" s="4">
        <f t="shared" si="0"/>
        <v>440.91316065071362</v>
      </c>
      <c r="C11" s="4">
        <f t="shared" si="1"/>
        <v>1611.6433380439344</v>
      </c>
      <c r="E11">
        <v>29000</v>
      </c>
      <c r="F11" s="4">
        <f t="shared" si="7"/>
        <v>410.91316065071362</v>
      </c>
      <c r="G11" s="4">
        <f t="shared" si="2"/>
        <v>1611.6433380439344</v>
      </c>
      <c r="I11">
        <v>29000</v>
      </c>
      <c r="J11" s="4">
        <f t="shared" si="3"/>
        <v>440.91316065071362</v>
      </c>
      <c r="K11" s="4">
        <f t="shared" si="4"/>
        <v>1579.297672731866</v>
      </c>
      <c r="M11">
        <v>29000</v>
      </c>
      <c r="N11" s="4">
        <f t="shared" si="5"/>
        <v>440.91316065071362</v>
      </c>
      <c r="O11" s="4">
        <f t="shared" si="6"/>
        <v>1699.0334668458518</v>
      </c>
    </row>
    <row r="12" spans="1:15">
      <c r="A12">
        <v>27000</v>
      </c>
      <c r="B12" s="4">
        <f t="shared" si="0"/>
        <v>437.29756237637605</v>
      </c>
      <c r="C12" s="4">
        <f t="shared" si="1"/>
        <v>1728.9936499371761</v>
      </c>
      <c r="E12">
        <v>27000</v>
      </c>
      <c r="F12" s="4">
        <f t="shared" si="7"/>
        <v>407.29756237637605</v>
      </c>
      <c r="G12" s="4">
        <f t="shared" si="2"/>
        <v>1728.9936499371761</v>
      </c>
      <c r="I12">
        <v>27000</v>
      </c>
      <c r="J12" s="4">
        <f t="shared" si="3"/>
        <v>437.29756237637605</v>
      </c>
      <c r="K12" s="4">
        <f t="shared" si="4"/>
        <v>1714.7053401094768</v>
      </c>
      <c r="M12">
        <v>27000</v>
      </c>
      <c r="N12" s="4">
        <f t="shared" si="5"/>
        <v>437.29756237637605</v>
      </c>
      <c r="O12" s="4">
        <f t="shared" si="6"/>
        <v>1822.8030899266378</v>
      </c>
    </row>
    <row r="13" spans="1:15">
      <c r="A13">
        <v>25000</v>
      </c>
      <c r="B13" s="4">
        <f t="shared" si="0"/>
        <v>432.40960888548693</v>
      </c>
      <c r="C13" s="4">
        <f t="shared" si="1"/>
        <v>1858.9153376673166</v>
      </c>
      <c r="E13">
        <v>25000</v>
      </c>
      <c r="F13" s="4">
        <f t="shared" si="7"/>
        <v>402.40960888548693</v>
      </c>
      <c r="G13" s="4">
        <f t="shared" si="2"/>
        <v>1858.9153376673166</v>
      </c>
      <c r="I13">
        <v>25000</v>
      </c>
      <c r="J13" s="4">
        <f t="shared" si="3"/>
        <v>432.40960888548693</v>
      </c>
      <c r="K13" s="4">
        <f t="shared" si="4"/>
        <v>1860.7670338220742</v>
      </c>
      <c r="M13">
        <v>25000</v>
      </c>
      <c r="N13" s="4">
        <f t="shared" si="5"/>
        <v>432.40960888548693</v>
      </c>
      <c r="O13" s="4">
        <f t="shared" si="6"/>
        <v>1961.9628228258944</v>
      </c>
    </row>
    <row r="14" spans="1:15">
      <c r="A14">
        <v>23000</v>
      </c>
      <c r="B14" s="4">
        <f t="shared" si="0"/>
        <v>426.16208979316406</v>
      </c>
      <c r="C14" s="4">
        <f t="shared" si="1"/>
        <v>2000.0753222568057</v>
      </c>
      <c r="E14">
        <v>23000</v>
      </c>
      <c r="F14" s="4">
        <f t="shared" si="7"/>
        <v>396.16208979316406</v>
      </c>
      <c r="G14" s="4">
        <f t="shared" si="2"/>
        <v>2000.0753222568057</v>
      </c>
      <c r="I14">
        <v>23000</v>
      </c>
      <c r="J14" s="4">
        <f t="shared" si="3"/>
        <v>426.16208979316406</v>
      </c>
      <c r="K14" s="4">
        <f t="shared" si="4"/>
        <v>2016.1370397724984</v>
      </c>
      <c r="M14">
        <v>23000</v>
      </c>
      <c r="N14" s="4">
        <f t="shared" si="5"/>
        <v>426.16208979316406</v>
      </c>
      <c r="O14" s="4">
        <f t="shared" si="6"/>
        <v>2116.5126655436197</v>
      </c>
    </row>
    <row r="15" spans="1:15">
      <c r="A15">
        <v>21000</v>
      </c>
      <c r="B15" s="4">
        <f t="shared" si="0"/>
        <v>418.46779471452493</v>
      </c>
      <c r="C15" s="4">
        <f t="shared" si="1"/>
        <v>2151.1405247280923</v>
      </c>
      <c r="E15">
        <v>21000</v>
      </c>
      <c r="F15" s="4">
        <f t="shared" si="7"/>
        <v>388.46779471452493</v>
      </c>
      <c r="G15" s="4">
        <f t="shared" si="2"/>
        <v>2151.1405247280923</v>
      </c>
      <c r="I15">
        <v>21000</v>
      </c>
      <c r="J15" s="4">
        <f t="shared" si="3"/>
        <v>418.46779471452493</v>
      </c>
      <c r="K15" s="4">
        <f t="shared" si="4"/>
        <v>2179.4383655106617</v>
      </c>
      <c r="M15">
        <v>21000</v>
      </c>
      <c r="N15" s="4">
        <f t="shared" si="5"/>
        <v>418.46779471452493</v>
      </c>
      <c r="O15" s="4">
        <f t="shared" si="6"/>
        <v>2286.4526180798157</v>
      </c>
    </row>
    <row r="16" spans="1:15">
      <c r="A16">
        <v>19000</v>
      </c>
      <c r="B16" s="4">
        <f t="shared" si="0"/>
        <v>409.2395132646875</v>
      </c>
      <c r="C16" s="4">
        <f t="shared" si="1"/>
        <v>2310.7778661036255</v>
      </c>
      <c r="E16">
        <v>19000</v>
      </c>
      <c r="F16" s="4">
        <f t="shared" si="7"/>
        <v>379.2395132646875</v>
      </c>
      <c r="G16" s="4">
        <f t="shared" si="2"/>
        <v>2310.7778661036255</v>
      </c>
      <c r="I16">
        <v>19000</v>
      </c>
      <c r="J16" s="4">
        <f t="shared" si="3"/>
        <v>409.2395132646875</v>
      </c>
      <c r="K16" s="4">
        <f t="shared" si="4"/>
        <v>2349.2627402335506</v>
      </c>
      <c r="M16">
        <v>19000</v>
      </c>
      <c r="N16" s="4">
        <f t="shared" si="5"/>
        <v>409.2395132646875</v>
      </c>
      <c r="O16" s="4">
        <f t="shared" si="6"/>
        <v>2471.7826804344822</v>
      </c>
    </row>
    <row r="17" spans="1:15">
      <c r="A17">
        <v>17000</v>
      </c>
      <c r="B17" s="4">
        <f t="shared" si="0"/>
        <v>398.39003505876929</v>
      </c>
      <c r="C17" s="4">
        <f t="shared" si="1"/>
        <v>2477.6542674058542</v>
      </c>
      <c r="E17">
        <v>17000</v>
      </c>
      <c r="F17" s="4">
        <f t="shared" si="7"/>
        <v>368.39003505876929</v>
      </c>
      <c r="G17" s="4">
        <f t="shared" si="2"/>
        <v>2477.6542674058542</v>
      </c>
      <c r="I17">
        <v>17000</v>
      </c>
      <c r="J17" s="4">
        <f t="shared" si="3"/>
        <v>398.39003505876929</v>
      </c>
      <c r="K17" s="4">
        <f t="shared" si="4"/>
        <v>2524.1706147852246</v>
      </c>
      <c r="M17">
        <v>17000</v>
      </c>
      <c r="N17" s="4">
        <f t="shared" si="5"/>
        <v>398.39003505876929</v>
      </c>
      <c r="O17" s="4">
        <f t="shared" si="6"/>
        <v>2672.5028526076176</v>
      </c>
    </row>
    <row r="18" spans="1:15">
      <c r="A18">
        <v>15000</v>
      </c>
      <c r="B18" s="4">
        <f t="shared" si="0"/>
        <v>385.83214971188818</v>
      </c>
      <c r="C18" s="4">
        <f t="shared" si="1"/>
        <v>2650.4366496572284</v>
      </c>
      <c r="E18">
        <v>15000</v>
      </c>
      <c r="F18" s="4">
        <f t="shared" si="7"/>
        <v>355.83214971188818</v>
      </c>
      <c r="G18" s="4">
        <f t="shared" si="2"/>
        <v>2650.4366496572284</v>
      </c>
      <c r="I18">
        <v>15000</v>
      </c>
      <c r="J18" s="4">
        <f t="shared" si="3"/>
        <v>385.83214971188818</v>
      </c>
      <c r="K18" s="4">
        <f t="shared" si="4"/>
        <v>2702.6911616568163</v>
      </c>
      <c r="M18">
        <v>15000</v>
      </c>
      <c r="N18" s="4">
        <f t="shared" si="5"/>
        <v>385.83214971188818</v>
      </c>
      <c r="O18" s="4">
        <f t="shared" si="6"/>
        <v>2888.6131345992239</v>
      </c>
    </row>
    <row r="19" spans="1:15">
      <c r="A19">
        <v>13000</v>
      </c>
      <c r="B19" s="4">
        <f t="shared" si="0"/>
        <v>371.47864683916168</v>
      </c>
      <c r="C19" s="4">
        <f t="shared" si="1"/>
        <v>2827.7919338801967</v>
      </c>
      <c r="E19">
        <v>13000</v>
      </c>
      <c r="F19" s="4">
        <f t="shared" si="7"/>
        <v>341.47864683916168</v>
      </c>
      <c r="G19" s="4">
        <f t="shared" si="2"/>
        <v>2827.7919338801967</v>
      </c>
      <c r="I19">
        <v>13000</v>
      </c>
      <c r="J19" s="4">
        <f t="shared" si="3"/>
        <v>371.47864683916168</v>
      </c>
      <c r="K19" s="4">
        <f t="shared" si="4"/>
        <v>2883.3222749865336</v>
      </c>
      <c r="M19">
        <v>13000</v>
      </c>
      <c r="N19" s="4">
        <f t="shared" si="5"/>
        <v>371.47864683916168</v>
      </c>
      <c r="O19" s="4">
        <f t="shared" si="6"/>
        <v>3120.1135264093</v>
      </c>
    </row>
    <row r="20" spans="1:15">
      <c r="A20">
        <v>11000</v>
      </c>
      <c r="B20" s="4">
        <f t="shared" si="0"/>
        <v>355.2423160557077</v>
      </c>
      <c r="C20" s="4">
        <f t="shared" si="1"/>
        <v>3008.3870410972086</v>
      </c>
      <c r="E20">
        <v>11000</v>
      </c>
      <c r="F20" s="4">
        <f t="shared" si="7"/>
        <v>325.2423160557077</v>
      </c>
      <c r="G20" s="4">
        <f t="shared" si="2"/>
        <v>3008.3870410972086</v>
      </c>
      <c r="I20">
        <v>11000</v>
      </c>
      <c r="J20" s="4">
        <f t="shared" si="3"/>
        <v>355.2423160557077</v>
      </c>
      <c r="K20" s="4">
        <f t="shared" si="4"/>
        <v>3064.5305705596547</v>
      </c>
      <c r="M20">
        <v>11000</v>
      </c>
      <c r="N20" s="4">
        <f t="shared" si="5"/>
        <v>355.2423160557077</v>
      </c>
      <c r="O20" s="4">
        <f t="shared" si="6"/>
        <v>3367.0040280378457</v>
      </c>
    </row>
    <row r="21" spans="1:15">
      <c r="A21">
        <v>9000</v>
      </c>
      <c r="B21" s="4">
        <f t="shared" si="0"/>
        <v>337.03594697664391</v>
      </c>
      <c r="C21" s="4">
        <f t="shared" si="1"/>
        <v>3190.8888923307131</v>
      </c>
      <c r="E21">
        <v>9000</v>
      </c>
      <c r="F21" s="4">
        <f t="shared" si="7"/>
        <v>307.03594697664391</v>
      </c>
      <c r="G21" s="4">
        <f t="shared" si="2"/>
        <v>3190.8888923307131</v>
      </c>
      <c r="I21">
        <v>9000</v>
      </c>
      <c r="J21" s="4">
        <f t="shared" si="3"/>
        <v>337.03594697664391</v>
      </c>
      <c r="K21" s="4">
        <f t="shared" si="4"/>
        <v>3244.7513858085331</v>
      </c>
      <c r="M21">
        <v>9000</v>
      </c>
      <c r="N21" s="4">
        <f t="shared" si="5"/>
        <v>337.03594697664391</v>
      </c>
      <c r="O21" s="4">
        <f t="shared" si="6"/>
        <v>3629.2846394848621</v>
      </c>
    </row>
    <row r="22" spans="1:15">
      <c r="A22">
        <v>7000</v>
      </c>
      <c r="B22" s="4">
        <f t="shared" si="0"/>
        <v>316.77232921708799</v>
      </c>
      <c r="C22" s="4">
        <f t="shared" si="1"/>
        <v>3373.9644086031594</v>
      </c>
      <c r="E22">
        <v>7000</v>
      </c>
      <c r="F22" s="4">
        <f t="shared" si="7"/>
        <v>286.77232921708799</v>
      </c>
      <c r="G22" s="4">
        <f t="shared" si="2"/>
        <v>3373.9644086031594</v>
      </c>
      <c r="I22">
        <v>7000</v>
      </c>
      <c r="J22" s="4">
        <f t="shared" si="3"/>
        <v>316.77232921708799</v>
      </c>
      <c r="K22" s="4">
        <f t="shared" si="4"/>
        <v>3422.3887798125961</v>
      </c>
      <c r="M22">
        <v>7000</v>
      </c>
      <c r="N22" s="4">
        <f t="shared" si="5"/>
        <v>316.77232921708799</v>
      </c>
      <c r="O22" s="4">
        <f t="shared" si="6"/>
        <v>3906.9553607503476</v>
      </c>
    </row>
    <row r="23" spans="1:15">
      <c r="A23">
        <v>5000</v>
      </c>
      <c r="B23" s="4">
        <f t="shared" si="0"/>
        <v>294.36425239215771</v>
      </c>
      <c r="C23" s="4">
        <f t="shared" si="1"/>
        <v>3556.280510936997</v>
      </c>
      <c r="E23">
        <v>5000</v>
      </c>
      <c r="F23" s="4">
        <f t="shared" si="7"/>
        <v>264.36425239215771</v>
      </c>
      <c r="G23" s="4">
        <f t="shared" si="2"/>
        <v>3556.280510936997</v>
      </c>
      <c r="I23">
        <v>5000</v>
      </c>
      <c r="J23" s="4">
        <f t="shared" si="3"/>
        <v>294.36425239215771</v>
      </c>
      <c r="K23" s="4">
        <f t="shared" si="4"/>
        <v>3595.8155332983433</v>
      </c>
      <c r="M23">
        <v>5000</v>
      </c>
      <c r="N23" s="4">
        <f t="shared" si="5"/>
        <v>294.36425239215771</v>
      </c>
      <c r="O23" s="4">
        <f t="shared" si="6"/>
        <v>4200.0161918343038</v>
      </c>
    </row>
    <row r="24" spans="1:15">
      <c r="A24">
        <v>3000</v>
      </c>
      <c r="B24" s="4">
        <f t="shared" si="0"/>
        <v>269.7245061169707</v>
      </c>
      <c r="C24" s="4">
        <f t="shared" si="1"/>
        <v>3736.5041203546748</v>
      </c>
      <c r="E24">
        <v>3000</v>
      </c>
      <c r="F24" s="4">
        <f t="shared" si="7"/>
        <v>239.7245061169707</v>
      </c>
      <c r="G24" s="4">
        <f t="shared" si="2"/>
        <v>3736.5041203546748</v>
      </c>
      <c r="I24">
        <v>3000</v>
      </c>
      <c r="J24" s="4">
        <f t="shared" si="3"/>
        <v>269.7245061169707</v>
      </c>
      <c r="K24" s="4">
        <f t="shared" si="4"/>
        <v>3763.3731486393485</v>
      </c>
      <c r="M24">
        <v>3000</v>
      </c>
      <c r="N24" s="4">
        <f t="shared" si="5"/>
        <v>269.7245061169707</v>
      </c>
      <c r="O24" s="4">
        <f t="shared" si="6"/>
        <v>4508.4671327367296</v>
      </c>
    </row>
    <row r="25" spans="1:15">
      <c r="A25">
        <v>1000</v>
      </c>
      <c r="B25" s="4">
        <f>1.81688301838087E-12*A25^3-3.06211926557797E-07*A25^2+0.0146805412821552*A25+228.389733768029</f>
        <v>242.76588000664478</v>
      </c>
      <c r="C25" s="4">
        <f t="shared" si="1"/>
        <v>3913.3021578786424</v>
      </c>
      <c r="E25">
        <v>1000</v>
      </c>
      <c r="F25" s="4">
        <f t="shared" si="7"/>
        <v>212.76588000664478</v>
      </c>
      <c r="G25" s="4">
        <f t="shared" si="2"/>
        <v>3913.3021578786424</v>
      </c>
      <c r="I25">
        <v>1000</v>
      </c>
      <c r="J25" s="4">
        <f t="shared" si="3"/>
        <v>242.76588000664478</v>
      </c>
      <c r="K25" s="4">
        <f t="shared" si="4"/>
        <v>3923.3718498562575</v>
      </c>
      <c r="M25">
        <v>1000</v>
      </c>
      <c r="N25" s="4">
        <f t="shared" si="5"/>
        <v>242.76588000664478</v>
      </c>
      <c r="O25" s="4">
        <f t="shared" si="6"/>
        <v>4832.308183457626</v>
      </c>
    </row>
    <row r="35" spans="1:13">
      <c r="C35" t="s">
        <v>131</v>
      </c>
      <c r="F35" t="s">
        <v>204</v>
      </c>
      <c r="I35" t="s">
        <v>159</v>
      </c>
      <c r="L35" t="s">
        <v>165</v>
      </c>
    </row>
    <row r="36" spans="1:13">
      <c r="C36" t="s">
        <v>205</v>
      </c>
      <c r="D36" t="s">
        <v>206</v>
      </c>
      <c r="F36" t="s">
        <v>205</v>
      </c>
      <c r="G36" t="s">
        <v>206</v>
      </c>
      <c r="I36" t="s">
        <v>205</v>
      </c>
      <c r="J36" t="s">
        <v>206</v>
      </c>
      <c r="L36" t="s">
        <v>205</v>
      </c>
      <c r="M36" t="s">
        <v>206</v>
      </c>
    </row>
    <row r="40" spans="1:13">
      <c r="A40">
        <v>23000</v>
      </c>
      <c r="B40">
        <v>45000</v>
      </c>
    </row>
    <row r="41" spans="1:13">
      <c r="B41">
        <v>43000</v>
      </c>
    </row>
    <row r="42" spans="1:13">
      <c r="B42">
        <v>41000</v>
      </c>
    </row>
    <row r="43" spans="1:13">
      <c r="B43">
        <v>39000</v>
      </c>
      <c r="L43">
        <v>445</v>
      </c>
      <c r="M43">
        <v>1414</v>
      </c>
    </row>
    <row r="44" spans="1:13">
      <c r="B44">
        <v>37000</v>
      </c>
      <c r="L44">
        <v>445</v>
      </c>
      <c r="M44">
        <v>1427</v>
      </c>
    </row>
    <row r="45" spans="1:13">
      <c r="B45">
        <v>35000</v>
      </c>
      <c r="L45">
        <v>447</v>
      </c>
      <c r="M45">
        <v>1481</v>
      </c>
    </row>
    <row r="46" spans="1:13">
      <c r="B46">
        <v>30000</v>
      </c>
      <c r="L46">
        <v>457</v>
      </c>
      <c r="M46">
        <v>1699</v>
      </c>
    </row>
    <row r="47" spans="1:13">
      <c r="B47">
        <v>25000</v>
      </c>
      <c r="L47">
        <v>466</v>
      </c>
      <c r="M47">
        <v>2013</v>
      </c>
    </row>
    <row r="49" spans="1:13">
      <c r="A49">
        <v>22000</v>
      </c>
      <c r="B49">
        <v>45000</v>
      </c>
      <c r="E49">
        <f t="shared" ref="E49:E80" si="8">D49-D40</f>
        <v>0</v>
      </c>
    </row>
    <row r="50" spans="1:13">
      <c r="B50">
        <v>43000</v>
      </c>
      <c r="E50">
        <f t="shared" si="8"/>
        <v>0</v>
      </c>
    </row>
    <row r="51" spans="1:13">
      <c r="B51">
        <v>41000</v>
      </c>
      <c r="E51">
        <f t="shared" si="8"/>
        <v>0</v>
      </c>
    </row>
    <row r="52" spans="1:13">
      <c r="B52">
        <v>39000</v>
      </c>
      <c r="E52">
        <f t="shared" si="8"/>
        <v>0</v>
      </c>
      <c r="L52">
        <v>445</v>
      </c>
      <c r="M52">
        <v>1358</v>
      </c>
    </row>
    <row r="53" spans="1:13">
      <c r="B53">
        <v>37000</v>
      </c>
      <c r="E53">
        <f t="shared" si="8"/>
        <v>0</v>
      </c>
      <c r="L53">
        <v>445</v>
      </c>
      <c r="M53">
        <v>1385</v>
      </c>
    </row>
    <row r="54" spans="1:13">
      <c r="B54">
        <v>35000</v>
      </c>
      <c r="E54">
        <f t="shared" si="8"/>
        <v>0</v>
      </c>
      <c r="L54">
        <v>447</v>
      </c>
      <c r="M54">
        <v>1443</v>
      </c>
    </row>
    <row r="55" spans="1:13">
      <c r="B55">
        <v>30000</v>
      </c>
      <c r="E55">
        <f t="shared" si="8"/>
        <v>0</v>
      </c>
      <c r="L55">
        <v>457</v>
      </c>
      <c r="M55">
        <v>1670</v>
      </c>
    </row>
    <row r="56" spans="1:13">
      <c r="B56">
        <v>25000</v>
      </c>
      <c r="E56">
        <f t="shared" si="8"/>
        <v>0</v>
      </c>
      <c r="L56">
        <v>466</v>
      </c>
      <c r="M56">
        <v>1994</v>
      </c>
    </row>
    <row r="57" spans="1:13">
      <c r="E57">
        <f t="shared" si="8"/>
        <v>0</v>
      </c>
    </row>
    <row r="58" spans="1:13">
      <c r="A58">
        <v>21000</v>
      </c>
      <c r="B58">
        <v>45000</v>
      </c>
      <c r="E58">
        <f t="shared" si="8"/>
        <v>0</v>
      </c>
    </row>
    <row r="59" spans="1:13">
      <c r="B59">
        <v>43000</v>
      </c>
      <c r="E59">
        <f t="shared" si="8"/>
        <v>0</v>
      </c>
    </row>
    <row r="60" spans="1:13">
      <c r="B60">
        <v>41000</v>
      </c>
      <c r="E60">
        <f t="shared" si="8"/>
        <v>0</v>
      </c>
      <c r="L60">
        <v>445</v>
      </c>
      <c r="M60">
        <v>1299</v>
      </c>
    </row>
    <row r="61" spans="1:13">
      <c r="B61">
        <v>39000</v>
      </c>
      <c r="E61">
        <f t="shared" si="8"/>
        <v>0</v>
      </c>
      <c r="L61">
        <v>445</v>
      </c>
      <c r="M61">
        <v>1308</v>
      </c>
    </row>
    <row r="62" spans="1:13">
      <c r="B62">
        <v>37000</v>
      </c>
      <c r="E62">
        <f t="shared" si="8"/>
        <v>0</v>
      </c>
      <c r="L62">
        <v>445</v>
      </c>
      <c r="M62">
        <v>1344</v>
      </c>
    </row>
    <row r="63" spans="1:13">
      <c r="B63">
        <v>35000</v>
      </c>
      <c r="E63">
        <f t="shared" si="8"/>
        <v>0</v>
      </c>
      <c r="L63">
        <v>447</v>
      </c>
      <c r="M63">
        <v>1406</v>
      </c>
    </row>
    <row r="64" spans="1:13">
      <c r="B64">
        <v>30000</v>
      </c>
      <c r="E64">
        <f t="shared" si="8"/>
        <v>0</v>
      </c>
      <c r="L64">
        <v>457</v>
      </c>
      <c r="M64">
        <v>1643</v>
      </c>
    </row>
    <row r="65" spans="1:13">
      <c r="B65">
        <v>25000</v>
      </c>
      <c r="E65">
        <f t="shared" si="8"/>
        <v>0</v>
      </c>
      <c r="L65">
        <v>466</v>
      </c>
      <c r="M65">
        <v>1975</v>
      </c>
    </row>
    <row r="66" spans="1:13">
      <c r="E66">
        <f t="shared" si="8"/>
        <v>0</v>
      </c>
    </row>
    <row r="67" spans="1:13">
      <c r="A67">
        <v>20000</v>
      </c>
      <c r="B67">
        <v>45000</v>
      </c>
      <c r="E67">
        <f t="shared" si="8"/>
        <v>0</v>
      </c>
    </row>
    <row r="68" spans="1:13">
      <c r="B68">
        <v>43000</v>
      </c>
      <c r="E68">
        <f t="shared" si="8"/>
        <v>0</v>
      </c>
    </row>
    <row r="69" spans="1:13">
      <c r="B69">
        <v>41000</v>
      </c>
      <c r="E69">
        <f t="shared" si="8"/>
        <v>0</v>
      </c>
      <c r="L69">
        <v>445</v>
      </c>
      <c r="M69">
        <v>1243</v>
      </c>
    </row>
    <row r="70" spans="1:13">
      <c r="B70">
        <v>39000</v>
      </c>
      <c r="E70">
        <f t="shared" si="8"/>
        <v>0</v>
      </c>
      <c r="L70">
        <v>445</v>
      </c>
      <c r="M70">
        <v>1265</v>
      </c>
    </row>
    <row r="71" spans="1:13">
      <c r="B71">
        <v>37000</v>
      </c>
      <c r="E71">
        <f t="shared" si="8"/>
        <v>0</v>
      </c>
      <c r="L71">
        <v>445</v>
      </c>
      <c r="M71">
        <v>1305</v>
      </c>
    </row>
    <row r="72" spans="1:13">
      <c r="B72">
        <v>35000</v>
      </c>
      <c r="E72">
        <f t="shared" si="8"/>
        <v>0</v>
      </c>
      <c r="L72">
        <v>447</v>
      </c>
      <c r="M72">
        <v>1373</v>
      </c>
    </row>
    <row r="73" spans="1:13">
      <c r="B73">
        <v>30000</v>
      </c>
      <c r="E73">
        <f t="shared" si="8"/>
        <v>0</v>
      </c>
      <c r="L73">
        <v>457</v>
      </c>
      <c r="M73">
        <v>1617</v>
      </c>
    </row>
    <row r="74" spans="1:13">
      <c r="B74">
        <v>25000</v>
      </c>
      <c r="E74">
        <f t="shared" si="8"/>
        <v>0</v>
      </c>
      <c r="L74">
        <v>466</v>
      </c>
      <c r="M74">
        <v>1965</v>
      </c>
    </row>
    <row r="75" spans="1:13">
      <c r="E75">
        <f t="shared" si="8"/>
        <v>0</v>
      </c>
    </row>
    <row r="76" spans="1:13">
      <c r="A76">
        <v>19000</v>
      </c>
      <c r="B76">
        <v>45000</v>
      </c>
      <c r="E76">
        <f t="shared" si="8"/>
        <v>0</v>
      </c>
    </row>
    <row r="77" spans="1:13">
      <c r="B77">
        <v>43000</v>
      </c>
      <c r="E77">
        <f t="shared" si="8"/>
        <v>0</v>
      </c>
      <c r="L77">
        <v>445</v>
      </c>
      <c r="M77">
        <v>1187</v>
      </c>
    </row>
    <row r="78" spans="1:13">
      <c r="B78">
        <v>41000</v>
      </c>
      <c r="E78">
        <f t="shared" si="8"/>
        <v>0</v>
      </c>
      <c r="L78">
        <v>445</v>
      </c>
      <c r="M78">
        <v>1192</v>
      </c>
    </row>
    <row r="79" spans="1:13">
      <c r="B79">
        <v>39000</v>
      </c>
      <c r="E79">
        <f t="shared" si="8"/>
        <v>0</v>
      </c>
      <c r="L79">
        <v>445</v>
      </c>
      <c r="M79">
        <v>1224</v>
      </c>
    </row>
    <row r="80" spans="1:13">
      <c r="B80">
        <v>37000</v>
      </c>
      <c r="E80">
        <f t="shared" si="8"/>
        <v>0</v>
      </c>
      <c r="L80">
        <v>445</v>
      </c>
      <c r="M80">
        <v>1268</v>
      </c>
    </row>
    <row r="81" spans="1:13">
      <c r="B81">
        <v>35000</v>
      </c>
      <c r="E81">
        <f t="shared" ref="E81:E112" si="9">D81-D72</f>
        <v>0</v>
      </c>
      <c r="L81">
        <v>447</v>
      </c>
      <c r="M81">
        <v>1341</v>
      </c>
    </row>
    <row r="82" spans="1:13">
      <c r="B82">
        <v>30000</v>
      </c>
      <c r="E82">
        <f t="shared" si="9"/>
        <v>0</v>
      </c>
      <c r="L82">
        <v>457</v>
      </c>
      <c r="M82">
        <v>1596</v>
      </c>
    </row>
    <row r="83" spans="1:13">
      <c r="B83">
        <v>25000</v>
      </c>
      <c r="E83">
        <f t="shared" si="9"/>
        <v>0</v>
      </c>
      <c r="L83">
        <v>466</v>
      </c>
      <c r="M83">
        <v>1956</v>
      </c>
    </row>
    <row r="84" spans="1:13">
      <c r="E84">
        <f t="shared" si="9"/>
        <v>0</v>
      </c>
    </row>
    <row r="85" spans="1:13">
      <c r="A85">
        <v>18000</v>
      </c>
      <c r="B85">
        <v>45000</v>
      </c>
      <c r="E85">
        <f t="shared" si="9"/>
        <v>0</v>
      </c>
    </row>
    <row r="86" spans="1:13">
      <c r="B86">
        <v>43000</v>
      </c>
      <c r="E86">
        <f t="shared" si="9"/>
        <v>0</v>
      </c>
      <c r="L86">
        <v>445</v>
      </c>
      <c r="M86">
        <v>1130</v>
      </c>
    </row>
    <row r="87" spans="1:13">
      <c r="B87">
        <v>41000</v>
      </c>
      <c r="E87">
        <f t="shared" si="9"/>
        <v>0</v>
      </c>
      <c r="L87">
        <v>445</v>
      </c>
      <c r="M87">
        <v>1150</v>
      </c>
    </row>
    <row r="88" spans="1:13">
      <c r="B88">
        <v>39000</v>
      </c>
      <c r="E88">
        <f t="shared" si="9"/>
        <v>0</v>
      </c>
      <c r="L88">
        <v>445</v>
      </c>
      <c r="M88">
        <v>1184</v>
      </c>
    </row>
    <row r="89" spans="1:13">
      <c r="B89">
        <v>37000</v>
      </c>
      <c r="E89">
        <f t="shared" si="9"/>
        <v>0</v>
      </c>
      <c r="L89">
        <v>445</v>
      </c>
      <c r="M89">
        <v>1235</v>
      </c>
    </row>
    <row r="90" spans="1:13">
      <c r="B90">
        <v>35000</v>
      </c>
      <c r="C90">
        <v>440</v>
      </c>
      <c r="D90">
        <v>1400</v>
      </c>
      <c r="E90">
        <f t="shared" si="9"/>
        <v>1400</v>
      </c>
      <c r="F90">
        <f t="shared" ref="F90:F121" si="10">IF(C90="","",C90-30)</f>
        <v>410</v>
      </c>
      <c r="G90">
        <f t="shared" ref="G90:G121" si="11">IF(D90="","",D90)</f>
        <v>1400</v>
      </c>
      <c r="L90">
        <v>447</v>
      </c>
      <c r="M90">
        <v>1311</v>
      </c>
    </row>
    <row r="91" spans="1:13">
      <c r="B91">
        <v>30000</v>
      </c>
      <c r="C91">
        <v>447</v>
      </c>
      <c r="D91">
        <v>1600</v>
      </c>
      <c r="E91">
        <f t="shared" si="9"/>
        <v>1600</v>
      </c>
      <c r="F91">
        <f t="shared" si="10"/>
        <v>417</v>
      </c>
      <c r="G91">
        <f t="shared" si="11"/>
        <v>1600</v>
      </c>
      <c r="L91">
        <v>457</v>
      </c>
      <c r="M91">
        <v>1575</v>
      </c>
    </row>
    <row r="92" spans="1:13">
      <c r="B92">
        <v>25000</v>
      </c>
      <c r="C92">
        <v>455</v>
      </c>
      <c r="D92">
        <v>1900</v>
      </c>
      <c r="E92">
        <f t="shared" si="9"/>
        <v>1900</v>
      </c>
      <c r="F92">
        <f t="shared" si="10"/>
        <v>425</v>
      </c>
      <c r="G92">
        <f t="shared" si="11"/>
        <v>1900</v>
      </c>
      <c r="L92">
        <v>466</v>
      </c>
      <c r="M92">
        <v>1948</v>
      </c>
    </row>
    <row r="93" spans="1:13">
      <c r="E93">
        <f t="shared" si="9"/>
        <v>0</v>
      </c>
      <c r="F93" t="str">
        <f t="shared" si="10"/>
        <v/>
      </c>
      <c r="G93" t="str">
        <f t="shared" si="11"/>
        <v/>
      </c>
    </row>
    <row r="94" spans="1:13">
      <c r="E94">
        <f t="shared" si="9"/>
        <v>0</v>
      </c>
      <c r="F94" t="str">
        <f t="shared" si="10"/>
        <v/>
      </c>
      <c r="G94" t="str">
        <f t="shared" si="11"/>
        <v/>
      </c>
    </row>
    <row r="95" spans="1:13">
      <c r="A95">
        <v>17500</v>
      </c>
      <c r="B95">
        <v>45000</v>
      </c>
      <c r="E95">
        <f t="shared" si="9"/>
        <v>0</v>
      </c>
      <c r="F95" t="str">
        <f t="shared" si="10"/>
        <v/>
      </c>
      <c r="G95" t="str">
        <f t="shared" si="11"/>
        <v/>
      </c>
    </row>
    <row r="96" spans="1:13">
      <c r="B96">
        <v>43000</v>
      </c>
      <c r="E96">
        <f t="shared" si="9"/>
        <v>0</v>
      </c>
      <c r="F96" t="str">
        <f t="shared" si="10"/>
        <v/>
      </c>
      <c r="G96" t="str">
        <f t="shared" si="11"/>
        <v/>
      </c>
    </row>
    <row r="97" spans="1:13">
      <c r="B97">
        <v>41000</v>
      </c>
      <c r="E97">
        <f t="shared" si="9"/>
        <v>0</v>
      </c>
      <c r="F97" t="str">
        <f t="shared" si="10"/>
        <v/>
      </c>
      <c r="G97" t="str">
        <f t="shared" si="11"/>
        <v/>
      </c>
    </row>
    <row r="98" spans="1:13">
      <c r="B98">
        <v>39000</v>
      </c>
      <c r="E98">
        <f t="shared" si="9"/>
        <v>0</v>
      </c>
      <c r="F98" t="str">
        <f t="shared" si="10"/>
        <v/>
      </c>
      <c r="G98" t="str">
        <f t="shared" si="11"/>
        <v/>
      </c>
      <c r="I98">
        <v>443</v>
      </c>
      <c r="J98">
        <v>1173</v>
      </c>
    </row>
    <row r="99" spans="1:13">
      <c r="B99">
        <v>37000</v>
      </c>
      <c r="E99">
        <f t="shared" si="9"/>
        <v>-1400</v>
      </c>
      <c r="F99" t="str">
        <f t="shared" si="10"/>
        <v/>
      </c>
      <c r="G99" t="str">
        <f t="shared" si="11"/>
        <v/>
      </c>
      <c r="I99">
        <v>443</v>
      </c>
      <c r="J99">
        <v>1223</v>
      </c>
    </row>
    <row r="100" spans="1:13">
      <c r="B100">
        <v>35000</v>
      </c>
      <c r="C100">
        <v>440</v>
      </c>
      <c r="D100">
        <v>1378</v>
      </c>
      <c r="E100">
        <f t="shared" si="9"/>
        <v>-222</v>
      </c>
      <c r="F100">
        <f t="shared" si="10"/>
        <v>410</v>
      </c>
      <c r="G100">
        <f t="shared" si="11"/>
        <v>1378</v>
      </c>
      <c r="I100">
        <v>445</v>
      </c>
      <c r="J100">
        <v>1297</v>
      </c>
    </row>
    <row r="101" spans="1:13">
      <c r="B101">
        <v>30000</v>
      </c>
      <c r="C101">
        <v>447</v>
      </c>
      <c r="D101">
        <v>1575</v>
      </c>
      <c r="E101">
        <f t="shared" si="9"/>
        <v>-325</v>
      </c>
      <c r="F101">
        <f t="shared" si="10"/>
        <v>417</v>
      </c>
      <c r="G101">
        <f t="shared" si="11"/>
        <v>1575</v>
      </c>
      <c r="I101">
        <v>454</v>
      </c>
      <c r="J101">
        <v>1553</v>
      </c>
    </row>
    <row r="102" spans="1:13">
      <c r="B102">
        <v>25000</v>
      </c>
      <c r="C102">
        <v>455</v>
      </c>
      <c r="D102">
        <v>1877</v>
      </c>
      <c r="E102">
        <f t="shared" si="9"/>
        <v>1877</v>
      </c>
      <c r="F102">
        <f t="shared" si="10"/>
        <v>425</v>
      </c>
      <c r="G102">
        <f t="shared" si="11"/>
        <v>1877</v>
      </c>
    </row>
    <row r="103" spans="1:13">
      <c r="E103">
        <f t="shared" si="9"/>
        <v>0</v>
      </c>
      <c r="F103" t="str">
        <f t="shared" si="10"/>
        <v/>
      </c>
      <c r="G103" t="str">
        <f t="shared" si="11"/>
        <v/>
      </c>
    </row>
    <row r="104" spans="1:13">
      <c r="E104">
        <f t="shared" si="9"/>
        <v>0</v>
      </c>
      <c r="F104" t="str">
        <f t="shared" si="10"/>
        <v/>
      </c>
      <c r="G104" t="str">
        <f t="shared" si="11"/>
        <v/>
      </c>
    </row>
    <row r="105" spans="1:13">
      <c r="A105">
        <v>17000</v>
      </c>
      <c r="B105">
        <v>45000</v>
      </c>
      <c r="E105">
        <f t="shared" si="9"/>
        <v>0</v>
      </c>
      <c r="F105" t="str">
        <f t="shared" si="10"/>
        <v/>
      </c>
      <c r="G105" t="str">
        <f t="shared" si="11"/>
        <v/>
      </c>
    </row>
    <row r="106" spans="1:13">
      <c r="B106">
        <v>43000</v>
      </c>
      <c r="E106">
        <f t="shared" si="9"/>
        <v>0</v>
      </c>
      <c r="F106" t="str">
        <f t="shared" si="10"/>
        <v/>
      </c>
      <c r="G106" t="str">
        <f t="shared" si="11"/>
        <v/>
      </c>
      <c r="L106">
        <v>445</v>
      </c>
      <c r="M106">
        <v>1081</v>
      </c>
    </row>
    <row r="107" spans="1:13">
      <c r="B107">
        <v>41000</v>
      </c>
      <c r="E107">
        <f t="shared" si="9"/>
        <v>0</v>
      </c>
      <c r="F107" t="str">
        <f t="shared" si="10"/>
        <v/>
      </c>
      <c r="G107" t="str">
        <f t="shared" si="11"/>
        <v/>
      </c>
      <c r="L107">
        <v>445</v>
      </c>
      <c r="M107">
        <v>1108</v>
      </c>
    </row>
    <row r="108" spans="1:13">
      <c r="B108">
        <v>39000</v>
      </c>
      <c r="E108">
        <f t="shared" si="9"/>
        <v>0</v>
      </c>
      <c r="F108" t="str">
        <f t="shared" si="10"/>
        <v/>
      </c>
      <c r="G108" t="str">
        <f t="shared" si="11"/>
        <v/>
      </c>
      <c r="I108">
        <v>443</v>
      </c>
      <c r="J108">
        <v>1155</v>
      </c>
      <c r="L108">
        <v>445</v>
      </c>
      <c r="M108">
        <v>1148</v>
      </c>
    </row>
    <row r="109" spans="1:13">
      <c r="B109">
        <v>37000</v>
      </c>
      <c r="C109">
        <v>439</v>
      </c>
      <c r="D109">
        <v>1292</v>
      </c>
      <c r="E109">
        <f t="shared" si="9"/>
        <v>-86</v>
      </c>
      <c r="F109">
        <f t="shared" si="10"/>
        <v>409</v>
      </c>
      <c r="G109">
        <f t="shared" si="11"/>
        <v>1292</v>
      </c>
      <c r="I109">
        <v>443</v>
      </c>
      <c r="J109">
        <v>1208</v>
      </c>
      <c r="L109">
        <v>445</v>
      </c>
      <c r="M109">
        <v>1203</v>
      </c>
    </row>
    <row r="110" spans="1:13">
      <c r="B110">
        <v>35000</v>
      </c>
      <c r="C110">
        <v>440</v>
      </c>
      <c r="D110">
        <v>1353</v>
      </c>
      <c r="E110">
        <f t="shared" si="9"/>
        <v>-222</v>
      </c>
      <c r="F110">
        <f t="shared" si="10"/>
        <v>410</v>
      </c>
      <c r="G110">
        <f t="shared" si="11"/>
        <v>1353</v>
      </c>
      <c r="I110">
        <v>445</v>
      </c>
      <c r="J110">
        <v>1284</v>
      </c>
      <c r="L110">
        <v>447</v>
      </c>
      <c r="M110">
        <v>1282</v>
      </c>
    </row>
    <row r="111" spans="1:13">
      <c r="B111">
        <v>30000</v>
      </c>
      <c r="C111">
        <v>447</v>
      </c>
      <c r="D111">
        <v>1555</v>
      </c>
      <c r="E111">
        <f t="shared" si="9"/>
        <v>-322</v>
      </c>
      <c r="F111">
        <f t="shared" si="10"/>
        <v>417</v>
      </c>
      <c r="G111">
        <f t="shared" si="11"/>
        <v>1555</v>
      </c>
      <c r="I111">
        <v>454</v>
      </c>
      <c r="J111">
        <v>1543</v>
      </c>
      <c r="L111">
        <v>457</v>
      </c>
      <c r="M111">
        <v>1555</v>
      </c>
    </row>
    <row r="112" spans="1:13">
      <c r="B112">
        <v>25000</v>
      </c>
      <c r="C112">
        <v>455</v>
      </c>
      <c r="D112">
        <v>1860</v>
      </c>
      <c r="E112">
        <f t="shared" si="9"/>
        <v>1860</v>
      </c>
      <c r="F112">
        <f t="shared" si="10"/>
        <v>425</v>
      </c>
      <c r="G112">
        <f t="shared" si="11"/>
        <v>1860</v>
      </c>
      <c r="L112">
        <v>466</v>
      </c>
      <c r="M112">
        <v>1940</v>
      </c>
    </row>
    <row r="113" spans="1:10">
      <c r="E113">
        <f t="shared" ref="E113:E144" si="12">D113-D104</f>
        <v>0</v>
      </c>
      <c r="F113" t="str">
        <f t="shared" si="10"/>
        <v/>
      </c>
      <c r="G113" t="str">
        <f t="shared" si="11"/>
        <v/>
      </c>
    </row>
    <row r="114" spans="1:10">
      <c r="A114">
        <v>16500</v>
      </c>
      <c r="B114">
        <v>45000</v>
      </c>
      <c r="E114">
        <f t="shared" si="12"/>
        <v>0</v>
      </c>
      <c r="F114" t="str">
        <f t="shared" si="10"/>
        <v/>
      </c>
      <c r="G114" t="str">
        <f t="shared" si="11"/>
        <v/>
      </c>
    </row>
    <row r="115" spans="1:10">
      <c r="B115">
        <v>43000</v>
      </c>
      <c r="E115">
        <f t="shared" si="12"/>
        <v>0</v>
      </c>
      <c r="F115" t="str">
        <f t="shared" si="10"/>
        <v/>
      </c>
      <c r="G115" t="str">
        <f t="shared" si="11"/>
        <v/>
      </c>
    </row>
    <row r="116" spans="1:10">
      <c r="B116">
        <v>41000</v>
      </c>
      <c r="E116">
        <f t="shared" si="12"/>
        <v>0</v>
      </c>
      <c r="F116" t="str">
        <f t="shared" si="10"/>
        <v/>
      </c>
      <c r="G116" t="str">
        <f t="shared" si="11"/>
        <v/>
      </c>
    </row>
    <row r="117" spans="1:10">
      <c r="B117">
        <v>39000</v>
      </c>
      <c r="E117">
        <f t="shared" si="12"/>
        <v>0</v>
      </c>
      <c r="F117" t="str">
        <f t="shared" si="10"/>
        <v/>
      </c>
      <c r="G117" t="str">
        <f t="shared" si="11"/>
        <v/>
      </c>
      <c r="I117">
        <v>443</v>
      </c>
      <c r="J117">
        <v>1139</v>
      </c>
    </row>
    <row r="118" spans="1:10">
      <c r="B118">
        <v>37000</v>
      </c>
      <c r="C118">
        <v>439</v>
      </c>
      <c r="D118">
        <v>1265</v>
      </c>
      <c r="E118">
        <f t="shared" si="12"/>
        <v>-27</v>
      </c>
      <c r="F118">
        <f t="shared" si="10"/>
        <v>409</v>
      </c>
      <c r="G118">
        <f t="shared" si="11"/>
        <v>1265</v>
      </c>
      <c r="I118">
        <v>443</v>
      </c>
      <c r="J118">
        <v>1194</v>
      </c>
    </row>
    <row r="119" spans="1:10">
      <c r="B119">
        <v>35000</v>
      </c>
      <c r="C119">
        <v>440</v>
      </c>
      <c r="D119">
        <v>1330</v>
      </c>
      <c r="E119">
        <f t="shared" si="12"/>
        <v>-23</v>
      </c>
      <c r="F119">
        <f t="shared" si="10"/>
        <v>410</v>
      </c>
      <c r="G119">
        <f t="shared" si="11"/>
        <v>1330</v>
      </c>
      <c r="I119">
        <v>445</v>
      </c>
      <c r="J119">
        <v>1272</v>
      </c>
    </row>
    <row r="120" spans="1:10">
      <c r="B120">
        <v>30000</v>
      </c>
      <c r="C120">
        <v>447</v>
      </c>
      <c r="D120">
        <v>1530</v>
      </c>
      <c r="E120">
        <f t="shared" si="12"/>
        <v>-25</v>
      </c>
      <c r="F120">
        <f t="shared" si="10"/>
        <v>417</v>
      </c>
      <c r="G120">
        <f t="shared" si="11"/>
        <v>1530</v>
      </c>
      <c r="I120">
        <v>454</v>
      </c>
      <c r="J120">
        <v>1534</v>
      </c>
    </row>
    <row r="121" spans="1:10">
      <c r="B121">
        <v>25000</v>
      </c>
      <c r="C121">
        <v>455</v>
      </c>
      <c r="D121">
        <v>1840</v>
      </c>
      <c r="E121">
        <f t="shared" si="12"/>
        <v>-20</v>
      </c>
      <c r="F121">
        <f t="shared" si="10"/>
        <v>425</v>
      </c>
      <c r="G121">
        <f t="shared" si="11"/>
        <v>1840</v>
      </c>
    </row>
    <row r="122" spans="1:10">
      <c r="E122">
        <f t="shared" si="12"/>
        <v>0</v>
      </c>
      <c r="F122" t="str">
        <f t="shared" ref="F122:F153" si="13">IF(C122="","",C122-30)</f>
        <v/>
      </c>
      <c r="G122" t="str">
        <f t="shared" ref="G122:G153" si="14">IF(D122="","",D122)</f>
        <v/>
      </c>
    </row>
    <row r="123" spans="1:10">
      <c r="A123">
        <v>16000</v>
      </c>
      <c r="B123">
        <v>45000</v>
      </c>
      <c r="E123">
        <f t="shared" si="12"/>
        <v>0</v>
      </c>
      <c r="F123" t="str">
        <f t="shared" si="13"/>
        <v/>
      </c>
      <c r="G123" t="str">
        <f t="shared" si="14"/>
        <v/>
      </c>
    </row>
    <row r="124" spans="1:10">
      <c r="B124">
        <v>43000</v>
      </c>
      <c r="E124">
        <f t="shared" si="12"/>
        <v>0</v>
      </c>
      <c r="F124" t="str">
        <f t="shared" si="13"/>
        <v/>
      </c>
      <c r="G124" t="str">
        <f t="shared" si="14"/>
        <v/>
      </c>
    </row>
    <row r="125" spans="1:10">
      <c r="B125">
        <v>41000</v>
      </c>
      <c r="E125">
        <f t="shared" si="12"/>
        <v>0</v>
      </c>
      <c r="F125" t="str">
        <f t="shared" si="13"/>
        <v/>
      </c>
      <c r="G125" t="str">
        <f t="shared" si="14"/>
        <v/>
      </c>
      <c r="I125">
        <v>443</v>
      </c>
      <c r="J125">
        <v>1079</v>
      </c>
    </row>
    <row r="126" spans="1:10">
      <c r="B126">
        <v>39000</v>
      </c>
      <c r="E126">
        <f t="shared" si="12"/>
        <v>0</v>
      </c>
      <c r="F126" t="str">
        <f t="shared" si="13"/>
        <v/>
      </c>
      <c r="G126" t="str">
        <f t="shared" si="14"/>
        <v/>
      </c>
      <c r="I126">
        <v>443</v>
      </c>
      <c r="J126">
        <v>1123</v>
      </c>
    </row>
    <row r="127" spans="1:10">
      <c r="B127">
        <v>37000</v>
      </c>
      <c r="C127">
        <v>439</v>
      </c>
      <c r="D127">
        <v>1240</v>
      </c>
      <c r="E127">
        <f t="shared" si="12"/>
        <v>-25</v>
      </c>
      <c r="F127">
        <f t="shared" si="13"/>
        <v>409</v>
      </c>
      <c r="G127">
        <f t="shared" si="14"/>
        <v>1240</v>
      </c>
      <c r="I127">
        <v>443</v>
      </c>
      <c r="J127">
        <v>1182</v>
      </c>
    </row>
    <row r="128" spans="1:10">
      <c r="B128">
        <v>35000</v>
      </c>
      <c r="C128">
        <v>440</v>
      </c>
      <c r="D128">
        <v>1310</v>
      </c>
      <c r="E128">
        <f t="shared" si="12"/>
        <v>-20</v>
      </c>
      <c r="F128">
        <f t="shared" si="13"/>
        <v>410</v>
      </c>
      <c r="G128">
        <f t="shared" si="14"/>
        <v>1310</v>
      </c>
      <c r="I128">
        <v>445</v>
      </c>
      <c r="J128">
        <v>1261</v>
      </c>
    </row>
    <row r="129" spans="1:10">
      <c r="B129">
        <v>30000</v>
      </c>
      <c r="C129">
        <v>447</v>
      </c>
      <c r="D129">
        <v>1514</v>
      </c>
      <c r="E129">
        <f t="shared" si="12"/>
        <v>-16</v>
      </c>
      <c r="F129">
        <f t="shared" si="13"/>
        <v>417</v>
      </c>
      <c r="G129">
        <f t="shared" si="14"/>
        <v>1514</v>
      </c>
      <c r="I129">
        <v>454</v>
      </c>
      <c r="J129">
        <v>1524</v>
      </c>
    </row>
    <row r="130" spans="1:10">
      <c r="B130">
        <v>25000</v>
      </c>
      <c r="C130">
        <v>400</v>
      </c>
      <c r="D130">
        <v>1824</v>
      </c>
      <c r="E130">
        <f t="shared" si="12"/>
        <v>-16</v>
      </c>
      <c r="F130">
        <f t="shared" si="13"/>
        <v>370</v>
      </c>
      <c r="G130">
        <f t="shared" si="14"/>
        <v>1824</v>
      </c>
    </row>
    <row r="131" spans="1:10">
      <c r="E131">
        <f t="shared" si="12"/>
        <v>0</v>
      </c>
      <c r="F131" t="str">
        <f t="shared" si="13"/>
        <v/>
      </c>
      <c r="G131" t="str">
        <f t="shared" si="14"/>
        <v/>
      </c>
    </row>
    <row r="132" spans="1:10">
      <c r="A132">
        <v>15500</v>
      </c>
      <c r="B132">
        <v>45000</v>
      </c>
      <c r="E132">
        <f t="shared" si="12"/>
        <v>0</v>
      </c>
      <c r="F132" t="str">
        <f t="shared" si="13"/>
        <v/>
      </c>
      <c r="G132" t="str">
        <f t="shared" si="14"/>
        <v/>
      </c>
    </row>
    <row r="133" spans="1:10">
      <c r="B133">
        <v>43000</v>
      </c>
      <c r="E133">
        <f t="shared" si="12"/>
        <v>0</v>
      </c>
      <c r="F133" t="str">
        <f t="shared" si="13"/>
        <v/>
      </c>
      <c r="G133" t="str">
        <f t="shared" si="14"/>
        <v/>
      </c>
    </row>
    <row r="134" spans="1:10">
      <c r="B134">
        <v>41000</v>
      </c>
      <c r="E134">
        <f t="shared" si="12"/>
        <v>0</v>
      </c>
      <c r="F134" t="str">
        <f t="shared" si="13"/>
        <v/>
      </c>
      <c r="G134" t="str">
        <f t="shared" si="14"/>
        <v/>
      </c>
      <c r="I134">
        <v>443</v>
      </c>
      <c r="J134">
        <v>1062</v>
      </c>
    </row>
    <row r="135" spans="1:10">
      <c r="B135">
        <v>39000</v>
      </c>
      <c r="E135">
        <f t="shared" si="12"/>
        <v>0</v>
      </c>
      <c r="F135" t="str">
        <f t="shared" si="13"/>
        <v/>
      </c>
      <c r="G135" t="str">
        <f t="shared" si="14"/>
        <v/>
      </c>
      <c r="I135">
        <v>443</v>
      </c>
      <c r="J135">
        <v>1107</v>
      </c>
    </row>
    <row r="136" spans="1:10">
      <c r="B136">
        <v>37000</v>
      </c>
      <c r="C136">
        <v>439</v>
      </c>
      <c r="D136">
        <v>1220</v>
      </c>
      <c r="E136">
        <f t="shared" si="12"/>
        <v>-20</v>
      </c>
      <c r="F136">
        <f t="shared" si="13"/>
        <v>409</v>
      </c>
      <c r="G136">
        <f t="shared" si="14"/>
        <v>1220</v>
      </c>
      <c r="I136">
        <v>443</v>
      </c>
      <c r="J136">
        <v>1170</v>
      </c>
    </row>
    <row r="137" spans="1:10">
      <c r="B137">
        <v>35000</v>
      </c>
      <c r="C137">
        <v>440</v>
      </c>
      <c r="D137">
        <v>1285</v>
      </c>
      <c r="E137">
        <f t="shared" si="12"/>
        <v>-25</v>
      </c>
      <c r="F137">
        <f t="shared" si="13"/>
        <v>410</v>
      </c>
      <c r="G137">
        <f t="shared" si="14"/>
        <v>1285</v>
      </c>
      <c r="I137">
        <v>445</v>
      </c>
      <c r="J137">
        <v>1250</v>
      </c>
    </row>
    <row r="138" spans="1:10">
      <c r="B138">
        <v>30000</v>
      </c>
      <c r="C138">
        <v>447</v>
      </c>
      <c r="D138">
        <v>1494</v>
      </c>
      <c r="E138">
        <f t="shared" si="12"/>
        <v>-20</v>
      </c>
      <c r="F138">
        <f t="shared" si="13"/>
        <v>417</v>
      </c>
      <c r="G138">
        <f t="shared" si="14"/>
        <v>1494</v>
      </c>
      <c r="I138">
        <v>454</v>
      </c>
      <c r="J138">
        <v>1516</v>
      </c>
    </row>
    <row r="139" spans="1:10">
      <c r="B139">
        <v>25000</v>
      </c>
      <c r="C139">
        <v>400</v>
      </c>
      <c r="D139">
        <v>1810</v>
      </c>
      <c r="E139">
        <f t="shared" si="12"/>
        <v>-14</v>
      </c>
      <c r="F139">
        <f t="shared" si="13"/>
        <v>370</v>
      </c>
      <c r="G139">
        <f t="shared" si="14"/>
        <v>1810</v>
      </c>
    </row>
    <row r="140" spans="1:10">
      <c r="E140">
        <f t="shared" si="12"/>
        <v>0</v>
      </c>
      <c r="F140" t="str">
        <f t="shared" si="13"/>
        <v/>
      </c>
      <c r="G140" t="str">
        <f t="shared" si="14"/>
        <v/>
      </c>
    </row>
    <row r="141" spans="1:10">
      <c r="A141">
        <v>15000</v>
      </c>
      <c r="B141">
        <v>45000</v>
      </c>
      <c r="E141">
        <f t="shared" si="12"/>
        <v>0</v>
      </c>
      <c r="F141" t="str">
        <f t="shared" si="13"/>
        <v/>
      </c>
      <c r="G141" t="str">
        <f t="shared" si="14"/>
        <v/>
      </c>
    </row>
    <row r="142" spans="1:10">
      <c r="B142">
        <v>43000</v>
      </c>
      <c r="E142">
        <f t="shared" si="12"/>
        <v>0</v>
      </c>
      <c r="F142" t="str">
        <f t="shared" si="13"/>
        <v/>
      </c>
      <c r="G142" t="str">
        <f t="shared" si="14"/>
        <v/>
      </c>
    </row>
    <row r="143" spans="1:10">
      <c r="B143">
        <v>41000</v>
      </c>
      <c r="E143">
        <f t="shared" si="12"/>
        <v>0</v>
      </c>
      <c r="F143" t="str">
        <f t="shared" si="13"/>
        <v/>
      </c>
      <c r="G143" t="str">
        <f t="shared" si="14"/>
        <v/>
      </c>
      <c r="I143">
        <v>443</v>
      </c>
      <c r="J143">
        <v>1045</v>
      </c>
    </row>
    <row r="144" spans="1:10">
      <c r="B144">
        <v>39000</v>
      </c>
      <c r="C144">
        <v>440</v>
      </c>
      <c r="D144">
        <v>1158</v>
      </c>
      <c r="E144">
        <f t="shared" si="12"/>
        <v>1158</v>
      </c>
      <c r="F144">
        <f t="shared" si="13"/>
        <v>410</v>
      </c>
      <c r="G144">
        <f t="shared" si="14"/>
        <v>1158</v>
      </c>
      <c r="I144">
        <v>443</v>
      </c>
      <c r="J144">
        <v>1094</v>
      </c>
    </row>
    <row r="145" spans="1:10">
      <c r="B145">
        <v>37000</v>
      </c>
      <c r="C145">
        <v>439</v>
      </c>
      <c r="D145">
        <v>1195</v>
      </c>
      <c r="E145">
        <f t="shared" ref="E145:E176" si="15">D145-D136</f>
        <v>-25</v>
      </c>
      <c r="F145">
        <f t="shared" si="13"/>
        <v>409</v>
      </c>
      <c r="G145">
        <f t="shared" si="14"/>
        <v>1195</v>
      </c>
      <c r="I145">
        <v>443</v>
      </c>
      <c r="J145">
        <v>1158</v>
      </c>
    </row>
    <row r="146" spans="1:10">
      <c r="B146">
        <v>35000</v>
      </c>
      <c r="C146">
        <v>440</v>
      </c>
      <c r="D146">
        <v>1265</v>
      </c>
      <c r="E146">
        <f t="shared" si="15"/>
        <v>-20</v>
      </c>
      <c r="F146">
        <f t="shared" si="13"/>
        <v>410</v>
      </c>
      <c r="G146">
        <f t="shared" si="14"/>
        <v>1265</v>
      </c>
      <c r="I146">
        <v>445</v>
      </c>
      <c r="J146">
        <v>1240</v>
      </c>
    </row>
    <row r="147" spans="1:10">
      <c r="B147">
        <v>30000</v>
      </c>
      <c r="C147">
        <v>447</v>
      </c>
      <c r="D147">
        <v>1478</v>
      </c>
      <c r="E147">
        <f t="shared" si="15"/>
        <v>-16</v>
      </c>
      <c r="F147">
        <f t="shared" si="13"/>
        <v>417</v>
      </c>
      <c r="G147">
        <f t="shared" si="14"/>
        <v>1478</v>
      </c>
      <c r="I147">
        <v>454</v>
      </c>
      <c r="J147">
        <v>1508</v>
      </c>
    </row>
    <row r="148" spans="1:10">
      <c r="B148">
        <v>25000</v>
      </c>
      <c r="C148">
        <v>455</v>
      </c>
      <c r="D148">
        <v>1792</v>
      </c>
      <c r="E148">
        <f t="shared" si="15"/>
        <v>-18</v>
      </c>
      <c r="F148">
        <f t="shared" si="13"/>
        <v>425</v>
      </c>
      <c r="G148">
        <f t="shared" si="14"/>
        <v>1792</v>
      </c>
    </row>
    <row r="149" spans="1:10">
      <c r="E149">
        <f t="shared" si="15"/>
        <v>0</v>
      </c>
      <c r="F149" t="str">
        <f t="shared" si="13"/>
        <v/>
      </c>
      <c r="G149" t="str">
        <f t="shared" si="14"/>
        <v/>
      </c>
    </row>
    <row r="150" spans="1:10">
      <c r="A150">
        <v>14500</v>
      </c>
      <c r="B150">
        <v>45000</v>
      </c>
      <c r="E150">
        <f t="shared" si="15"/>
        <v>0</v>
      </c>
      <c r="F150" t="str">
        <f t="shared" si="13"/>
        <v/>
      </c>
      <c r="G150" t="str">
        <f t="shared" si="14"/>
        <v/>
      </c>
    </row>
    <row r="151" spans="1:10">
      <c r="B151">
        <v>43000</v>
      </c>
      <c r="E151">
        <f t="shared" si="15"/>
        <v>0</v>
      </c>
      <c r="F151" t="str">
        <f t="shared" si="13"/>
        <v/>
      </c>
      <c r="G151" t="str">
        <f t="shared" si="14"/>
        <v/>
      </c>
      <c r="I151">
        <v>443</v>
      </c>
      <c r="J151">
        <v>990</v>
      </c>
    </row>
    <row r="152" spans="1:10">
      <c r="B152">
        <v>41000</v>
      </c>
      <c r="E152">
        <f t="shared" si="15"/>
        <v>0</v>
      </c>
      <c r="F152" t="str">
        <f t="shared" si="13"/>
        <v/>
      </c>
      <c r="G152" t="str">
        <f t="shared" si="14"/>
        <v/>
      </c>
      <c r="I152">
        <v>443</v>
      </c>
      <c r="J152">
        <v>1029</v>
      </c>
    </row>
    <row r="153" spans="1:10">
      <c r="B153">
        <v>39000</v>
      </c>
      <c r="C153">
        <v>440</v>
      </c>
      <c r="D153">
        <v>1135</v>
      </c>
      <c r="E153">
        <f t="shared" si="15"/>
        <v>-23</v>
      </c>
      <c r="F153">
        <f t="shared" si="13"/>
        <v>410</v>
      </c>
      <c r="G153">
        <f t="shared" si="14"/>
        <v>1135</v>
      </c>
      <c r="I153">
        <v>443</v>
      </c>
      <c r="J153">
        <v>1082</v>
      </c>
    </row>
    <row r="154" spans="1:10">
      <c r="B154">
        <v>37000</v>
      </c>
      <c r="C154">
        <v>439</v>
      </c>
      <c r="D154">
        <v>1174</v>
      </c>
      <c r="E154">
        <f t="shared" si="15"/>
        <v>-21</v>
      </c>
      <c r="F154">
        <f t="shared" ref="F154:F166" si="16">IF(C154="","",C154-30)</f>
        <v>409</v>
      </c>
      <c r="G154">
        <f t="shared" ref="G154:G166" si="17">IF(D154="","",D154)</f>
        <v>1174</v>
      </c>
      <c r="I154">
        <v>443</v>
      </c>
      <c r="J154">
        <v>1146</v>
      </c>
    </row>
    <row r="155" spans="1:10">
      <c r="B155">
        <v>35000</v>
      </c>
      <c r="C155">
        <v>440</v>
      </c>
      <c r="D155">
        <v>1246</v>
      </c>
      <c r="E155">
        <f t="shared" si="15"/>
        <v>-19</v>
      </c>
      <c r="F155">
        <f t="shared" si="16"/>
        <v>410</v>
      </c>
      <c r="G155">
        <f t="shared" si="17"/>
        <v>1246</v>
      </c>
      <c r="I155">
        <v>445</v>
      </c>
      <c r="J155">
        <v>1230</v>
      </c>
    </row>
    <row r="156" spans="1:10">
      <c r="B156">
        <v>30000</v>
      </c>
      <c r="C156">
        <v>447</v>
      </c>
      <c r="D156">
        <v>1460</v>
      </c>
      <c r="E156">
        <f t="shared" si="15"/>
        <v>-18</v>
      </c>
      <c r="F156">
        <f t="shared" si="16"/>
        <v>417</v>
      </c>
      <c r="G156">
        <f t="shared" si="17"/>
        <v>1460</v>
      </c>
      <c r="I156">
        <v>454</v>
      </c>
      <c r="J156">
        <v>1500</v>
      </c>
    </row>
    <row r="157" spans="1:10">
      <c r="B157">
        <v>25000</v>
      </c>
      <c r="C157">
        <v>455</v>
      </c>
      <c r="D157">
        <v>1776</v>
      </c>
      <c r="E157">
        <f t="shared" si="15"/>
        <v>-16</v>
      </c>
      <c r="F157">
        <f t="shared" si="16"/>
        <v>425</v>
      </c>
      <c r="G157">
        <f t="shared" si="17"/>
        <v>1776</v>
      </c>
    </row>
    <row r="158" spans="1:10">
      <c r="E158">
        <f t="shared" si="15"/>
        <v>0</v>
      </c>
      <c r="F158" t="str">
        <f t="shared" si="16"/>
        <v/>
      </c>
      <c r="G158" t="str">
        <f t="shared" si="17"/>
        <v/>
      </c>
    </row>
    <row r="159" spans="1:10">
      <c r="A159">
        <v>14000</v>
      </c>
      <c r="B159">
        <v>45000</v>
      </c>
      <c r="E159">
        <f t="shared" si="15"/>
        <v>0</v>
      </c>
      <c r="F159" t="str">
        <f t="shared" si="16"/>
        <v/>
      </c>
      <c r="G159" t="str">
        <f t="shared" si="17"/>
        <v/>
      </c>
    </row>
    <row r="160" spans="1:10">
      <c r="B160">
        <v>43000</v>
      </c>
      <c r="E160">
        <f t="shared" si="15"/>
        <v>0</v>
      </c>
      <c r="F160" t="str">
        <f t="shared" si="16"/>
        <v/>
      </c>
      <c r="G160" t="str">
        <f t="shared" si="17"/>
        <v/>
      </c>
      <c r="I160">
        <v>443</v>
      </c>
      <c r="J160">
        <v>973</v>
      </c>
    </row>
    <row r="161" spans="1:10">
      <c r="B161">
        <v>41000</v>
      </c>
      <c r="E161">
        <f t="shared" si="15"/>
        <v>0</v>
      </c>
      <c r="F161" t="str">
        <f t="shared" si="16"/>
        <v/>
      </c>
      <c r="G161" t="str">
        <f t="shared" si="17"/>
        <v/>
      </c>
      <c r="I161">
        <v>443</v>
      </c>
      <c r="J161">
        <v>1014</v>
      </c>
    </row>
    <row r="162" spans="1:10">
      <c r="B162">
        <v>39000</v>
      </c>
      <c r="C162">
        <v>440</v>
      </c>
      <c r="D162">
        <v>1110</v>
      </c>
      <c r="E162">
        <f t="shared" si="15"/>
        <v>-25</v>
      </c>
      <c r="F162">
        <f t="shared" si="16"/>
        <v>410</v>
      </c>
      <c r="G162">
        <f t="shared" si="17"/>
        <v>1110</v>
      </c>
      <c r="I162">
        <v>443</v>
      </c>
      <c r="J162">
        <v>1071</v>
      </c>
    </row>
    <row r="163" spans="1:10">
      <c r="B163">
        <v>37000</v>
      </c>
      <c r="C163">
        <v>439</v>
      </c>
      <c r="D163">
        <v>1150</v>
      </c>
      <c r="E163">
        <f t="shared" si="15"/>
        <v>-24</v>
      </c>
      <c r="F163">
        <f t="shared" si="16"/>
        <v>409</v>
      </c>
      <c r="G163">
        <f t="shared" si="17"/>
        <v>1150</v>
      </c>
      <c r="I163">
        <v>443</v>
      </c>
      <c r="J163">
        <v>1136</v>
      </c>
    </row>
    <row r="164" spans="1:10">
      <c r="B164">
        <v>35000</v>
      </c>
      <c r="C164">
        <v>440</v>
      </c>
      <c r="D164">
        <v>1225</v>
      </c>
      <c r="E164">
        <f t="shared" si="15"/>
        <v>-21</v>
      </c>
      <c r="F164">
        <f t="shared" si="16"/>
        <v>410</v>
      </c>
      <c r="G164">
        <f t="shared" si="17"/>
        <v>1225</v>
      </c>
      <c r="I164">
        <v>445</v>
      </c>
      <c r="J164">
        <v>1220</v>
      </c>
    </row>
    <row r="165" spans="1:10">
      <c r="B165">
        <v>30000</v>
      </c>
      <c r="C165">
        <v>447</v>
      </c>
      <c r="D165">
        <v>1440</v>
      </c>
      <c r="E165">
        <f t="shared" si="15"/>
        <v>-20</v>
      </c>
      <c r="F165">
        <f t="shared" si="16"/>
        <v>417</v>
      </c>
      <c r="G165">
        <f t="shared" si="17"/>
        <v>1440</v>
      </c>
      <c r="I165">
        <v>454</v>
      </c>
      <c r="J165">
        <v>1492</v>
      </c>
    </row>
    <row r="166" spans="1:10">
      <c r="B166">
        <v>25000</v>
      </c>
      <c r="C166">
        <v>455</v>
      </c>
      <c r="D166">
        <v>1760</v>
      </c>
      <c r="E166">
        <f t="shared" si="15"/>
        <v>-16</v>
      </c>
      <c r="F166">
        <f t="shared" si="16"/>
        <v>425</v>
      </c>
      <c r="G166">
        <f t="shared" si="17"/>
        <v>1760</v>
      </c>
    </row>
    <row r="167" spans="1:10">
      <c r="E167">
        <f t="shared" si="15"/>
        <v>0</v>
      </c>
    </row>
    <row r="168" spans="1:10">
      <c r="A168">
        <v>13500</v>
      </c>
      <c r="B168">
        <v>45000</v>
      </c>
      <c r="E168">
        <f t="shared" si="15"/>
        <v>0</v>
      </c>
    </row>
    <row r="169" spans="1:10">
      <c r="B169">
        <v>43000</v>
      </c>
      <c r="E169">
        <f t="shared" si="15"/>
        <v>0</v>
      </c>
      <c r="I169">
        <v>443</v>
      </c>
      <c r="J169">
        <v>957</v>
      </c>
    </row>
    <row r="170" spans="1:10">
      <c r="B170">
        <v>41000</v>
      </c>
      <c r="E170">
        <f t="shared" si="15"/>
        <v>0</v>
      </c>
      <c r="I170">
        <v>443</v>
      </c>
      <c r="J170">
        <v>1001</v>
      </c>
    </row>
    <row r="171" spans="1:10">
      <c r="B171">
        <v>39000</v>
      </c>
      <c r="C171">
        <v>440</v>
      </c>
      <c r="D171">
        <v>1090</v>
      </c>
      <c r="E171">
        <f t="shared" si="15"/>
        <v>-20</v>
      </c>
      <c r="I171">
        <v>443</v>
      </c>
      <c r="J171">
        <v>1060</v>
      </c>
    </row>
    <row r="172" spans="1:10">
      <c r="B172">
        <v>37000</v>
      </c>
      <c r="C172">
        <v>439</v>
      </c>
      <c r="D172">
        <v>1134</v>
      </c>
      <c r="E172">
        <f t="shared" si="15"/>
        <v>-16</v>
      </c>
      <c r="I172">
        <v>443</v>
      </c>
      <c r="J172">
        <v>1126</v>
      </c>
    </row>
    <row r="173" spans="1:10">
      <c r="B173">
        <v>35000</v>
      </c>
      <c r="C173">
        <v>440</v>
      </c>
      <c r="D173">
        <v>1208</v>
      </c>
      <c r="E173">
        <f t="shared" si="15"/>
        <v>-17</v>
      </c>
      <c r="I173">
        <v>445</v>
      </c>
      <c r="J173">
        <v>1211</v>
      </c>
    </row>
    <row r="174" spans="1:10">
      <c r="B174">
        <v>30000</v>
      </c>
      <c r="C174">
        <v>447</v>
      </c>
      <c r="D174">
        <v>1425</v>
      </c>
      <c r="E174">
        <f t="shared" si="15"/>
        <v>-15</v>
      </c>
      <c r="I174">
        <v>454</v>
      </c>
      <c r="J174">
        <v>1485</v>
      </c>
    </row>
    <row r="175" spans="1:10">
      <c r="B175">
        <v>25000</v>
      </c>
      <c r="C175">
        <v>455</v>
      </c>
      <c r="D175">
        <v>1745</v>
      </c>
      <c r="E175">
        <f t="shared" si="15"/>
        <v>-15</v>
      </c>
    </row>
    <row r="176" spans="1:10">
      <c r="E176">
        <f t="shared" si="15"/>
        <v>0</v>
      </c>
    </row>
    <row r="177" spans="1:10">
      <c r="A177">
        <v>13000</v>
      </c>
      <c r="B177">
        <v>45000</v>
      </c>
      <c r="E177">
        <f t="shared" ref="E177:E208" si="18">D177-D168</f>
        <v>0</v>
      </c>
    </row>
    <row r="178" spans="1:10">
      <c r="B178">
        <v>43000</v>
      </c>
      <c r="E178">
        <f t="shared" si="18"/>
        <v>0</v>
      </c>
      <c r="I178">
        <v>443</v>
      </c>
      <c r="J178">
        <v>941</v>
      </c>
    </row>
    <row r="179" spans="1:10">
      <c r="B179">
        <v>41000</v>
      </c>
      <c r="C179">
        <v>442</v>
      </c>
      <c r="D179">
        <v>1030</v>
      </c>
      <c r="E179">
        <f t="shared" si="18"/>
        <v>1030</v>
      </c>
      <c r="I179">
        <v>443</v>
      </c>
      <c r="J179">
        <v>989</v>
      </c>
    </row>
    <row r="180" spans="1:10">
      <c r="B180">
        <v>39000</v>
      </c>
      <c r="C180">
        <v>440</v>
      </c>
      <c r="D180">
        <v>1066</v>
      </c>
      <c r="E180">
        <f t="shared" si="18"/>
        <v>-24</v>
      </c>
      <c r="I180">
        <v>443</v>
      </c>
      <c r="J180">
        <v>1049</v>
      </c>
    </row>
    <row r="181" spans="1:10">
      <c r="B181">
        <v>37000</v>
      </c>
      <c r="C181">
        <v>439</v>
      </c>
      <c r="D181">
        <v>1115</v>
      </c>
      <c r="E181">
        <f t="shared" si="18"/>
        <v>-19</v>
      </c>
      <c r="I181">
        <v>443</v>
      </c>
      <c r="J181">
        <v>1116</v>
      </c>
    </row>
    <row r="182" spans="1:10">
      <c r="B182">
        <v>35000</v>
      </c>
      <c r="C182">
        <v>440</v>
      </c>
      <c r="D182">
        <v>1189</v>
      </c>
      <c r="E182">
        <f t="shared" si="18"/>
        <v>-19</v>
      </c>
      <c r="I182">
        <v>445</v>
      </c>
      <c r="J182">
        <v>1202</v>
      </c>
    </row>
    <row r="183" spans="1:10">
      <c r="B183">
        <v>30000</v>
      </c>
      <c r="C183">
        <v>447</v>
      </c>
      <c r="D183">
        <v>1410</v>
      </c>
      <c r="E183">
        <f t="shared" si="18"/>
        <v>-15</v>
      </c>
      <c r="I183">
        <v>454</v>
      </c>
      <c r="J183">
        <v>1479</v>
      </c>
    </row>
    <row r="184" spans="1:10">
      <c r="B184">
        <v>25000</v>
      </c>
      <c r="C184">
        <v>445</v>
      </c>
      <c r="D184">
        <v>1730</v>
      </c>
      <c r="E184">
        <f t="shared" si="18"/>
        <v>-15</v>
      </c>
    </row>
    <row r="185" spans="1:10">
      <c r="E185">
        <f t="shared" si="18"/>
        <v>0</v>
      </c>
    </row>
    <row r="186" spans="1:10">
      <c r="A186">
        <v>12500</v>
      </c>
      <c r="B186">
        <v>45000</v>
      </c>
      <c r="E186">
        <f t="shared" si="18"/>
        <v>0</v>
      </c>
      <c r="I186">
        <v>443</v>
      </c>
      <c r="J186">
        <v>889</v>
      </c>
    </row>
    <row r="187" spans="1:10">
      <c r="B187">
        <v>43000</v>
      </c>
      <c r="E187">
        <f t="shared" si="18"/>
        <v>0</v>
      </c>
      <c r="I187">
        <v>443</v>
      </c>
      <c r="J187">
        <v>926</v>
      </c>
    </row>
    <row r="188" spans="1:10">
      <c r="B188">
        <v>41000</v>
      </c>
      <c r="C188">
        <v>442</v>
      </c>
      <c r="D188">
        <v>1001</v>
      </c>
      <c r="E188">
        <f t="shared" si="18"/>
        <v>-29</v>
      </c>
      <c r="I188">
        <v>443</v>
      </c>
      <c r="J188">
        <v>978</v>
      </c>
    </row>
    <row r="189" spans="1:10">
      <c r="B189">
        <v>39000</v>
      </c>
      <c r="C189">
        <v>440</v>
      </c>
      <c r="D189">
        <v>1048</v>
      </c>
      <c r="E189">
        <f t="shared" si="18"/>
        <v>-18</v>
      </c>
      <c r="I189">
        <v>443</v>
      </c>
      <c r="J189">
        <v>1039</v>
      </c>
    </row>
    <row r="190" spans="1:10">
      <c r="B190">
        <v>37000</v>
      </c>
      <c r="C190">
        <v>439</v>
      </c>
      <c r="D190">
        <v>1097</v>
      </c>
      <c r="E190">
        <f t="shared" si="18"/>
        <v>-18</v>
      </c>
      <c r="I190">
        <v>443</v>
      </c>
      <c r="J190">
        <v>1107</v>
      </c>
    </row>
    <row r="191" spans="1:10">
      <c r="B191">
        <v>35000</v>
      </c>
      <c r="C191">
        <v>440</v>
      </c>
      <c r="D191">
        <v>1170</v>
      </c>
      <c r="E191">
        <f t="shared" si="18"/>
        <v>-19</v>
      </c>
      <c r="I191">
        <v>445</v>
      </c>
      <c r="J191">
        <v>1194</v>
      </c>
    </row>
    <row r="192" spans="1:10">
      <c r="B192">
        <v>30000</v>
      </c>
      <c r="C192">
        <v>447</v>
      </c>
      <c r="D192">
        <v>1390</v>
      </c>
      <c r="E192">
        <f t="shared" si="18"/>
        <v>-20</v>
      </c>
      <c r="I192">
        <v>454</v>
      </c>
      <c r="J192">
        <v>1473</v>
      </c>
    </row>
    <row r="193" spans="1:10">
      <c r="B193">
        <v>25000</v>
      </c>
      <c r="C193">
        <v>445</v>
      </c>
      <c r="D193">
        <v>1712</v>
      </c>
      <c r="E193">
        <f t="shared" si="18"/>
        <v>-18</v>
      </c>
    </row>
    <row r="194" spans="1:10">
      <c r="E194">
        <f t="shared" si="18"/>
        <v>0</v>
      </c>
    </row>
    <row r="195" spans="1:10">
      <c r="A195">
        <v>12000</v>
      </c>
      <c r="B195">
        <v>45000</v>
      </c>
      <c r="E195">
        <f t="shared" si="18"/>
        <v>0</v>
      </c>
      <c r="I195">
        <v>443</v>
      </c>
      <c r="J195">
        <v>873</v>
      </c>
    </row>
    <row r="196" spans="1:10">
      <c r="B196">
        <v>43000</v>
      </c>
      <c r="E196">
        <f t="shared" si="18"/>
        <v>0</v>
      </c>
      <c r="I196">
        <v>443</v>
      </c>
      <c r="J196">
        <v>914</v>
      </c>
    </row>
    <row r="197" spans="1:10">
      <c r="B197">
        <v>41000</v>
      </c>
      <c r="C197">
        <v>442</v>
      </c>
      <c r="D197">
        <v>988</v>
      </c>
      <c r="E197">
        <f t="shared" si="18"/>
        <v>-13</v>
      </c>
      <c r="I197">
        <v>443</v>
      </c>
      <c r="J197">
        <v>968</v>
      </c>
    </row>
    <row r="198" spans="1:10">
      <c r="B198">
        <v>39000</v>
      </c>
      <c r="C198">
        <v>440</v>
      </c>
      <c r="D198">
        <v>1025</v>
      </c>
      <c r="E198">
        <f t="shared" si="18"/>
        <v>-23</v>
      </c>
      <c r="I198">
        <v>443</v>
      </c>
      <c r="J198">
        <v>1030</v>
      </c>
    </row>
    <row r="199" spans="1:10">
      <c r="B199">
        <v>37000</v>
      </c>
      <c r="C199">
        <v>439</v>
      </c>
      <c r="D199">
        <v>1078</v>
      </c>
      <c r="E199">
        <f t="shared" si="18"/>
        <v>-19</v>
      </c>
      <c r="I199">
        <v>443</v>
      </c>
      <c r="J199">
        <v>1099</v>
      </c>
    </row>
    <row r="200" spans="1:10">
      <c r="B200">
        <v>35000</v>
      </c>
      <c r="C200">
        <v>440</v>
      </c>
      <c r="D200">
        <v>1150</v>
      </c>
      <c r="E200">
        <f t="shared" si="18"/>
        <v>-20</v>
      </c>
      <c r="I200">
        <v>445</v>
      </c>
      <c r="J200">
        <v>1186</v>
      </c>
    </row>
    <row r="201" spans="1:10">
      <c r="B201">
        <v>30000</v>
      </c>
      <c r="C201">
        <v>447</v>
      </c>
      <c r="D201">
        <v>1375</v>
      </c>
      <c r="E201">
        <f t="shared" si="18"/>
        <v>-15</v>
      </c>
      <c r="I201">
        <v>454</v>
      </c>
      <c r="J201">
        <v>1468</v>
      </c>
    </row>
    <row r="202" spans="1:10">
      <c r="B202">
        <v>25000</v>
      </c>
      <c r="C202">
        <v>445</v>
      </c>
      <c r="D202">
        <v>696</v>
      </c>
      <c r="E202">
        <f t="shared" si="18"/>
        <v>-1016</v>
      </c>
    </row>
    <row r="203" spans="1:10">
      <c r="E203">
        <f t="shared" si="18"/>
        <v>0</v>
      </c>
    </row>
    <row r="204" spans="1:10">
      <c r="A204">
        <v>11500</v>
      </c>
      <c r="B204">
        <v>45000</v>
      </c>
      <c r="E204">
        <f t="shared" si="18"/>
        <v>0</v>
      </c>
      <c r="I204">
        <v>443</v>
      </c>
      <c r="J204">
        <v>858</v>
      </c>
    </row>
    <row r="205" spans="1:10">
      <c r="B205">
        <v>43000</v>
      </c>
      <c r="E205">
        <f t="shared" si="18"/>
        <v>0</v>
      </c>
      <c r="I205">
        <v>443</v>
      </c>
      <c r="J205">
        <v>903</v>
      </c>
    </row>
    <row r="206" spans="1:10">
      <c r="B206">
        <v>41000</v>
      </c>
      <c r="C206">
        <v>442</v>
      </c>
      <c r="D206">
        <v>967</v>
      </c>
      <c r="E206">
        <f t="shared" si="18"/>
        <v>-21</v>
      </c>
      <c r="I206">
        <v>443</v>
      </c>
      <c r="J206">
        <v>958</v>
      </c>
    </row>
    <row r="207" spans="1:10">
      <c r="B207">
        <v>39000</v>
      </c>
      <c r="C207">
        <v>440</v>
      </c>
      <c r="D207">
        <v>1005</v>
      </c>
      <c r="E207">
        <f t="shared" si="18"/>
        <v>-20</v>
      </c>
      <c r="I207">
        <v>443</v>
      </c>
      <c r="J207">
        <v>1022</v>
      </c>
    </row>
    <row r="208" spans="1:10">
      <c r="B208">
        <v>37000</v>
      </c>
      <c r="C208">
        <v>439</v>
      </c>
      <c r="D208">
        <v>1060</v>
      </c>
      <c r="E208">
        <f t="shared" si="18"/>
        <v>-18</v>
      </c>
      <c r="I208">
        <v>443</v>
      </c>
      <c r="J208">
        <v>1090</v>
      </c>
    </row>
    <row r="209" spans="1:10">
      <c r="B209">
        <v>35000</v>
      </c>
      <c r="C209">
        <v>440</v>
      </c>
      <c r="D209">
        <v>1134</v>
      </c>
      <c r="E209">
        <f t="shared" ref="E209:E240" si="19">D209-D200</f>
        <v>-16</v>
      </c>
      <c r="I209">
        <v>445</v>
      </c>
      <c r="J209">
        <v>1178</v>
      </c>
    </row>
    <row r="210" spans="1:10">
      <c r="B210">
        <v>30000</v>
      </c>
      <c r="C210">
        <v>447</v>
      </c>
      <c r="D210">
        <v>1360</v>
      </c>
      <c r="E210">
        <f t="shared" si="19"/>
        <v>-15</v>
      </c>
      <c r="I210">
        <v>454</v>
      </c>
      <c r="J210">
        <v>1462</v>
      </c>
    </row>
    <row r="211" spans="1:10">
      <c r="B211">
        <v>25000</v>
      </c>
      <c r="C211">
        <v>445</v>
      </c>
      <c r="D211">
        <v>1680</v>
      </c>
      <c r="E211">
        <f t="shared" si="19"/>
        <v>984</v>
      </c>
    </row>
    <row r="212" spans="1:10">
      <c r="E212">
        <f t="shared" si="19"/>
        <v>0</v>
      </c>
    </row>
    <row r="213" spans="1:10">
      <c r="A213">
        <v>11000</v>
      </c>
      <c r="B213">
        <v>45000</v>
      </c>
      <c r="E213">
        <f t="shared" si="19"/>
        <v>0</v>
      </c>
      <c r="I213">
        <v>443</v>
      </c>
      <c r="J213">
        <v>844</v>
      </c>
    </row>
    <row r="214" spans="1:10">
      <c r="B214">
        <v>43000</v>
      </c>
      <c r="C214">
        <v>442</v>
      </c>
      <c r="D214">
        <v>904</v>
      </c>
      <c r="E214">
        <f t="shared" si="19"/>
        <v>904</v>
      </c>
      <c r="I214">
        <v>443</v>
      </c>
      <c r="J214">
        <v>893</v>
      </c>
    </row>
    <row r="215" spans="1:10">
      <c r="B215">
        <v>41000</v>
      </c>
      <c r="C215">
        <v>442</v>
      </c>
      <c r="D215">
        <v>947</v>
      </c>
      <c r="E215">
        <f t="shared" si="19"/>
        <v>-20</v>
      </c>
      <c r="I215">
        <v>443</v>
      </c>
      <c r="J215">
        <v>950</v>
      </c>
    </row>
    <row r="216" spans="1:10">
      <c r="B216">
        <v>39000</v>
      </c>
      <c r="C216">
        <v>440</v>
      </c>
      <c r="D216">
        <v>985</v>
      </c>
      <c r="E216">
        <f t="shared" si="19"/>
        <v>-20</v>
      </c>
      <c r="I216">
        <v>443</v>
      </c>
      <c r="J216">
        <v>1013</v>
      </c>
    </row>
    <row r="217" spans="1:10">
      <c r="B217">
        <v>37000</v>
      </c>
      <c r="C217">
        <v>439</v>
      </c>
      <c r="D217">
        <v>1042</v>
      </c>
      <c r="E217">
        <f t="shared" si="19"/>
        <v>-18</v>
      </c>
      <c r="I217">
        <v>443</v>
      </c>
      <c r="J217">
        <v>1082</v>
      </c>
    </row>
    <row r="218" spans="1:10">
      <c r="B218">
        <v>35000</v>
      </c>
      <c r="C218">
        <v>440</v>
      </c>
      <c r="D218">
        <v>1117</v>
      </c>
      <c r="E218">
        <f t="shared" si="19"/>
        <v>-17</v>
      </c>
      <c r="I218">
        <v>445</v>
      </c>
      <c r="J218">
        <v>1170</v>
      </c>
    </row>
    <row r="219" spans="1:10">
      <c r="B219">
        <v>30000</v>
      </c>
      <c r="C219">
        <v>447</v>
      </c>
      <c r="D219">
        <v>1344</v>
      </c>
      <c r="E219">
        <f t="shared" si="19"/>
        <v>-16</v>
      </c>
      <c r="I219">
        <v>454</v>
      </c>
      <c r="J219">
        <v>1457</v>
      </c>
    </row>
    <row r="220" spans="1:10">
      <c r="B220">
        <v>25000</v>
      </c>
      <c r="C220">
        <v>445</v>
      </c>
      <c r="D220">
        <v>1665</v>
      </c>
      <c r="E220">
        <f t="shared" si="19"/>
        <v>-15</v>
      </c>
    </row>
    <row r="221" spans="1:10">
      <c r="E221">
        <f t="shared" si="19"/>
        <v>0</v>
      </c>
    </row>
    <row r="222" spans="1:10">
      <c r="A222">
        <v>10500</v>
      </c>
      <c r="B222">
        <v>45000</v>
      </c>
      <c r="E222">
        <f t="shared" si="19"/>
        <v>0</v>
      </c>
      <c r="I222">
        <v>443</v>
      </c>
      <c r="J222">
        <v>832</v>
      </c>
    </row>
    <row r="223" spans="1:10">
      <c r="B223">
        <v>43000</v>
      </c>
      <c r="C223">
        <v>442</v>
      </c>
      <c r="D223">
        <v>880</v>
      </c>
      <c r="E223">
        <f t="shared" si="19"/>
        <v>-24</v>
      </c>
      <c r="I223">
        <v>443</v>
      </c>
      <c r="J223">
        <v>883</v>
      </c>
    </row>
    <row r="224" spans="1:10">
      <c r="B224">
        <v>41000</v>
      </c>
      <c r="C224">
        <v>442</v>
      </c>
      <c r="D224">
        <v>928</v>
      </c>
      <c r="E224">
        <f t="shared" si="19"/>
        <v>-19</v>
      </c>
      <c r="I224">
        <v>443</v>
      </c>
      <c r="J224">
        <v>941</v>
      </c>
    </row>
    <row r="225" spans="1:10">
      <c r="B225">
        <v>39000</v>
      </c>
      <c r="C225">
        <v>440</v>
      </c>
      <c r="D225">
        <v>967</v>
      </c>
      <c r="E225">
        <f t="shared" si="19"/>
        <v>-18</v>
      </c>
      <c r="I225">
        <v>443</v>
      </c>
      <c r="J225">
        <v>1005</v>
      </c>
    </row>
    <row r="226" spans="1:10">
      <c r="B226">
        <v>37000</v>
      </c>
      <c r="C226">
        <v>439</v>
      </c>
      <c r="D226">
        <v>1027</v>
      </c>
      <c r="E226">
        <f t="shared" si="19"/>
        <v>-15</v>
      </c>
      <c r="I226">
        <v>443</v>
      </c>
      <c r="J226">
        <v>1074</v>
      </c>
    </row>
    <row r="227" spans="1:10">
      <c r="B227">
        <v>35000</v>
      </c>
      <c r="C227">
        <v>440</v>
      </c>
      <c r="D227">
        <v>1100</v>
      </c>
      <c r="E227">
        <f t="shared" si="19"/>
        <v>-17</v>
      </c>
      <c r="I227">
        <v>445</v>
      </c>
      <c r="J227">
        <v>1163</v>
      </c>
    </row>
    <row r="228" spans="1:10">
      <c r="B228">
        <v>30000</v>
      </c>
      <c r="C228">
        <v>447</v>
      </c>
      <c r="D228">
        <v>1330</v>
      </c>
      <c r="E228">
        <f t="shared" si="19"/>
        <v>-14</v>
      </c>
      <c r="I228">
        <v>454</v>
      </c>
      <c r="J228">
        <v>1452</v>
      </c>
    </row>
    <row r="229" spans="1:10">
      <c r="B229">
        <v>25000</v>
      </c>
      <c r="C229">
        <v>445</v>
      </c>
      <c r="D229">
        <v>1650</v>
      </c>
      <c r="E229">
        <f t="shared" si="19"/>
        <v>-15</v>
      </c>
    </row>
    <row r="230" spans="1:10">
      <c r="E230">
        <f t="shared" si="19"/>
        <v>0</v>
      </c>
    </row>
    <row r="231" spans="1:10">
      <c r="A231">
        <v>10000</v>
      </c>
      <c r="B231">
        <v>45000</v>
      </c>
      <c r="E231">
        <f t="shared" si="19"/>
        <v>0</v>
      </c>
      <c r="I231">
        <v>443</v>
      </c>
      <c r="J231">
        <v>822</v>
      </c>
    </row>
    <row r="232" spans="1:10">
      <c r="B232">
        <v>43000</v>
      </c>
      <c r="C232">
        <v>442</v>
      </c>
      <c r="D232">
        <v>855</v>
      </c>
      <c r="E232">
        <f t="shared" si="19"/>
        <v>-25</v>
      </c>
      <c r="I232">
        <v>443</v>
      </c>
      <c r="J232">
        <v>874</v>
      </c>
    </row>
    <row r="233" spans="1:10">
      <c r="B233">
        <v>41000</v>
      </c>
      <c r="C233">
        <v>442</v>
      </c>
      <c r="D233">
        <v>910</v>
      </c>
      <c r="E233">
        <f t="shared" si="19"/>
        <v>-18</v>
      </c>
      <c r="I233">
        <v>443</v>
      </c>
      <c r="J233">
        <v>933</v>
      </c>
    </row>
    <row r="234" spans="1:10">
      <c r="B234">
        <v>39000</v>
      </c>
      <c r="C234">
        <v>440</v>
      </c>
      <c r="D234">
        <v>950</v>
      </c>
      <c r="E234">
        <f t="shared" si="19"/>
        <v>-17</v>
      </c>
      <c r="I234">
        <v>443</v>
      </c>
      <c r="J234">
        <v>997</v>
      </c>
    </row>
    <row r="235" spans="1:10">
      <c r="B235">
        <v>37000</v>
      </c>
      <c r="C235">
        <v>439</v>
      </c>
      <c r="D235">
        <v>1010</v>
      </c>
      <c r="E235">
        <f t="shared" si="19"/>
        <v>-17</v>
      </c>
      <c r="I235">
        <v>443</v>
      </c>
      <c r="J235">
        <v>1067</v>
      </c>
    </row>
    <row r="236" spans="1:10">
      <c r="B236">
        <v>35000</v>
      </c>
      <c r="C236">
        <v>440</v>
      </c>
      <c r="D236">
        <v>1085</v>
      </c>
      <c r="E236">
        <f t="shared" si="19"/>
        <v>-15</v>
      </c>
      <c r="I236">
        <v>445</v>
      </c>
      <c r="J236">
        <v>1157</v>
      </c>
    </row>
    <row r="237" spans="1:10">
      <c r="B237">
        <v>30000</v>
      </c>
      <c r="C237">
        <v>447</v>
      </c>
      <c r="D237">
        <v>1315</v>
      </c>
      <c r="E237">
        <f t="shared" si="19"/>
        <v>-15</v>
      </c>
      <c r="I237">
        <v>454</v>
      </c>
      <c r="J237">
        <v>1447</v>
      </c>
    </row>
    <row r="238" spans="1:10">
      <c r="B238">
        <v>25000</v>
      </c>
      <c r="C238">
        <v>445</v>
      </c>
      <c r="D238">
        <v>1634</v>
      </c>
      <c r="E238">
        <f t="shared" si="19"/>
        <v>-16</v>
      </c>
    </row>
    <row r="239" spans="1:10">
      <c r="B239">
        <v>20000</v>
      </c>
      <c r="C239">
        <v>408</v>
      </c>
      <c r="E239">
        <f t="shared" si="19"/>
        <v>0</v>
      </c>
    </row>
    <row r="240" spans="1:10">
      <c r="B240">
        <v>15000</v>
      </c>
      <c r="C240">
        <v>378</v>
      </c>
      <c r="E240">
        <f t="shared" si="19"/>
        <v>0</v>
      </c>
    </row>
    <row r="241" spans="2:5">
      <c r="B241">
        <v>10000</v>
      </c>
      <c r="C241">
        <v>351</v>
      </c>
      <c r="E241">
        <f t="shared" ref="E241:E242" si="20">D241-D232</f>
        <v>-855</v>
      </c>
    </row>
    <row r="242" spans="2:5">
      <c r="E242">
        <f t="shared" si="20"/>
        <v>-910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CAA99-4FB0-4FE3-B4D6-F5E0AA567606}">
  <sheetPr codeName="Sheet12"/>
  <dimension ref="A1:AJ12"/>
  <sheetViews>
    <sheetView workbookViewId="0">
      <selection activeCell="Q14" sqref="Q14"/>
    </sheetView>
  </sheetViews>
  <sheetFormatPr defaultRowHeight="15"/>
  <sheetData>
    <row r="1" spans="1:36" ht="14.25" customHeight="1">
      <c r="A1" t="s">
        <v>207</v>
      </c>
      <c r="H1" t="s">
        <v>208</v>
      </c>
      <c r="O1" t="s">
        <v>209</v>
      </c>
      <c r="V1" t="s">
        <v>210</v>
      </c>
      <c r="AC1" t="s">
        <v>211</v>
      </c>
      <c r="AJ1" t="s">
        <v>212</v>
      </c>
    </row>
    <row r="2" spans="1:36">
      <c r="A2" t="s">
        <v>177</v>
      </c>
      <c r="B2" t="s">
        <v>42</v>
      </c>
      <c r="C2" t="s">
        <v>51</v>
      </c>
      <c r="D2" t="s">
        <v>59</v>
      </c>
      <c r="E2" t="s">
        <v>43</v>
      </c>
      <c r="F2" t="s">
        <v>48</v>
      </c>
      <c r="H2" t="s">
        <v>177</v>
      </c>
      <c r="I2" t="s">
        <v>42</v>
      </c>
      <c r="J2" t="s">
        <v>51</v>
      </c>
      <c r="K2" t="s">
        <v>59</v>
      </c>
      <c r="L2" t="s">
        <v>43</v>
      </c>
      <c r="M2" t="s">
        <v>48</v>
      </c>
      <c r="O2" t="s">
        <v>177</v>
      </c>
      <c r="P2" t="s">
        <v>42</v>
      </c>
      <c r="Q2" t="s">
        <v>51</v>
      </c>
      <c r="R2" t="s">
        <v>59</v>
      </c>
      <c r="S2" t="s">
        <v>43</v>
      </c>
      <c r="T2" t="s">
        <v>48</v>
      </c>
      <c r="V2" t="s">
        <v>177</v>
      </c>
      <c r="W2" t="s">
        <v>42</v>
      </c>
      <c r="X2" t="s">
        <v>51</v>
      </c>
      <c r="Y2" t="s">
        <v>59</v>
      </c>
      <c r="Z2" t="s">
        <v>43</v>
      </c>
      <c r="AA2" t="s">
        <v>48</v>
      </c>
      <c r="AC2" t="s">
        <v>177</v>
      </c>
      <c r="AD2" t="s">
        <v>42</v>
      </c>
      <c r="AE2" t="s">
        <v>51</v>
      </c>
      <c r="AF2" t="s">
        <v>59</v>
      </c>
      <c r="AG2" t="s">
        <v>43</v>
      </c>
      <c r="AH2" t="s">
        <v>48</v>
      </c>
    </row>
    <row r="3" spans="1:36">
      <c r="A3">
        <v>43000</v>
      </c>
      <c r="B3">
        <v>402</v>
      </c>
      <c r="C3">
        <v>435</v>
      </c>
      <c r="D3">
        <v>1292</v>
      </c>
      <c r="E3">
        <v>1500</v>
      </c>
      <c r="F3">
        <v>700</v>
      </c>
      <c r="H3">
        <v>10000</v>
      </c>
      <c r="I3">
        <v>260</v>
      </c>
      <c r="J3">
        <v>260</v>
      </c>
      <c r="K3">
        <v>1700</v>
      </c>
      <c r="L3">
        <v>2200</v>
      </c>
      <c r="M3">
        <v>2700</v>
      </c>
      <c r="O3">
        <v>10000</v>
      </c>
      <c r="P3">
        <v>250</v>
      </c>
      <c r="Q3">
        <v>269</v>
      </c>
      <c r="R3">
        <v>1154</v>
      </c>
      <c r="S3">
        <v>3086</v>
      </c>
      <c r="T3">
        <v>4400</v>
      </c>
      <c r="V3">
        <v>10000</v>
      </c>
      <c r="W3">
        <v>260</v>
      </c>
      <c r="X3">
        <v>260</v>
      </c>
      <c r="Y3">
        <v>1700</v>
      </c>
      <c r="Z3">
        <v>2200</v>
      </c>
      <c r="AA3">
        <v>2700</v>
      </c>
      <c r="AC3">
        <v>35000</v>
      </c>
      <c r="AD3">
        <v>390</v>
      </c>
      <c r="AE3">
        <v>430</v>
      </c>
      <c r="AF3">
        <v>1200</v>
      </c>
      <c r="AG3">
        <v>1400</v>
      </c>
      <c r="AH3">
        <v>700</v>
      </c>
    </row>
    <row r="4" spans="1:36">
      <c r="A4">
        <v>10000</v>
      </c>
      <c r="B4">
        <v>296</v>
      </c>
      <c r="C4">
        <v>350</v>
      </c>
      <c r="D4">
        <v>3000</v>
      </c>
      <c r="E4">
        <v>3200</v>
      </c>
      <c r="F4">
        <v>3700</v>
      </c>
      <c r="H4">
        <v>20000</v>
      </c>
      <c r="I4">
        <v>310</v>
      </c>
      <c r="J4">
        <v>300</v>
      </c>
      <c r="K4">
        <v>1600</v>
      </c>
      <c r="L4">
        <v>2000</v>
      </c>
      <c r="M4">
        <v>1700</v>
      </c>
      <c r="O4">
        <v>20000</v>
      </c>
      <c r="P4">
        <v>250</v>
      </c>
      <c r="Q4">
        <v>318</v>
      </c>
      <c r="R4">
        <v>1079</v>
      </c>
      <c r="S4">
        <v>2773</v>
      </c>
      <c r="T4">
        <v>3921</v>
      </c>
      <c r="V4">
        <v>20000</v>
      </c>
      <c r="W4">
        <v>310</v>
      </c>
      <c r="X4">
        <v>300</v>
      </c>
      <c r="Y4">
        <v>1600</v>
      </c>
      <c r="Z4">
        <v>2000</v>
      </c>
      <c r="AA4">
        <v>1700</v>
      </c>
      <c r="AC4">
        <v>28000</v>
      </c>
      <c r="AD4">
        <v>360</v>
      </c>
      <c r="AE4">
        <v>370</v>
      </c>
      <c r="AF4">
        <v>1550</v>
      </c>
      <c r="AG4">
        <v>1600</v>
      </c>
      <c r="AH4">
        <v>1600</v>
      </c>
    </row>
    <row r="5" spans="1:36">
      <c r="A5">
        <v>15000</v>
      </c>
      <c r="B5">
        <v>321</v>
      </c>
      <c r="C5">
        <v>400</v>
      </c>
      <c r="D5">
        <v>2500</v>
      </c>
      <c r="E5">
        <v>2900</v>
      </c>
      <c r="F5">
        <v>3200</v>
      </c>
      <c r="H5">
        <v>30000</v>
      </c>
      <c r="I5">
        <v>380</v>
      </c>
      <c r="J5">
        <v>360</v>
      </c>
      <c r="K5">
        <v>1450</v>
      </c>
      <c r="L5">
        <v>1650</v>
      </c>
      <c r="M5">
        <v>1300</v>
      </c>
      <c r="O5">
        <v>30000</v>
      </c>
      <c r="P5">
        <v>250</v>
      </c>
      <c r="Q5">
        <v>365</v>
      </c>
      <c r="R5">
        <v>988</v>
      </c>
      <c r="S5">
        <v>2423</v>
      </c>
      <c r="T5">
        <v>3279</v>
      </c>
      <c r="V5">
        <v>30000</v>
      </c>
      <c r="W5">
        <v>380</v>
      </c>
      <c r="X5">
        <v>360</v>
      </c>
      <c r="Y5">
        <v>1450</v>
      </c>
      <c r="Z5">
        <v>1650</v>
      </c>
      <c r="AA5">
        <v>1300</v>
      </c>
      <c r="AC5">
        <v>40000</v>
      </c>
      <c r="AD5">
        <v>400</v>
      </c>
      <c r="AE5">
        <v>440</v>
      </c>
      <c r="AF5">
        <v>1200</v>
      </c>
      <c r="AG5">
        <v>1300</v>
      </c>
      <c r="AH5">
        <v>500</v>
      </c>
    </row>
    <row r="6" spans="1:36">
      <c r="A6">
        <v>35000</v>
      </c>
      <c r="B6">
        <v>403</v>
      </c>
      <c r="C6">
        <v>437</v>
      </c>
      <c r="D6">
        <v>1399</v>
      </c>
      <c r="E6">
        <v>1600</v>
      </c>
      <c r="F6">
        <v>1600</v>
      </c>
      <c r="H6">
        <v>35000</v>
      </c>
      <c r="I6">
        <v>390</v>
      </c>
      <c r="J6">
        <v>380</v>
      </c>
      <c r="K6">
        <v>1350</v>
      </c>
      <c r="L6">
        <v>1450</v>
      </c>
      <c r="M6">
        <v>700</v>
      </c>
      <c r="O6">
        <v>47000</v>
      </c>
      <c r="P6">
        <v>290</v>
      </c>
      <c r="Q6">
        <v>433</v>
      </c>
      <c r="R6">
        <v>897</v>
      </c>
      <c r="S6">
        <v>1500</v>
      </c>
      <c r="T6">
        <v>1679</v>
      </c>
      <c r="V6">
        <v>35000</v>
      </c>
      <c r="W6">
        <v>390</v>
      </c>
      <c r="X6">
        <v>380</v>
      </c>
      <c r="Y6">
        <v>1350</v>
      </c>
      <c r="Z6">
        <v>1450</v>
      </c>
      <c r="AA6">
        <v>700</v>
      </c>
      <c r="AC6">
        <v>27000</v>
      </c>
      <c r="AD6">
        <v>360</v>
      </c>
      <c r="AE6">
        <v>370</v>
      </c>
      <c r="AF6">
        <v>1550</v>
      </c>
      <c r="AG6">
        <v>1700</v>
      </c>
      <c r="AH6">
        <v>1700</v>
      </c>
    </row>
    <row r="7" spans="1:36">
      <c r="A7">
        <v>5000</v>
      </c>
      <c r="B7">
        <v>274</v>
      </c>
      <c r="C7">
        <v>250</v>
      </c>
      <c r="D7">
        <v>3000</v>
      </c>
      <c r="E7">
        <v>3400</v>
      </c>
      <c r="F7">
        <v>3800</v>
      </c>
      <c r="H7">
        <v>0</v>
      </c>
      <c r="I7">
        <v>0</v>
      </c>
      <c r="J7">
        <v>0</v>
      </c>
      <c r="K7">
        <v>0</v>
      </c>
      <c r="L7">
        <v>0</v>
      </c>
      <c r="M7">
        <v>0</v>
      </c>
      <c r="O7">
        <v>35000</v>
      </c>
      <c r="P7">
        <v>260</v>
      </c>
      <c r="Q7">
        <v>435</v>
      </c>
      <c r="R7">
        <v>1193</v>
      </c>
      <c r="S7">
        <v>2258</v>
      </c>
      <c r="T7">
        <v>2966</v>
      </c>
      <c r="V7">
        <v>0</v>
      </c>
      <c r="W7">
        <v>0</v>
      </c>
      <c r="X7">
        <v>0</v>
      </c>
      <c r="Y7">
        <v>0</v>
      </c>
      <c r="Z7">
        <v>0</v>
      </c>
      <c r="AA7">
        <v>0</v>
      </c>
      <c r="AC7">
        <v>20000</v>
      </c>
      <c r="AD7">
        <v>310</v>
      </c>
      <c r="AE7">
        <v>340</v>
      </c>
      <c r="AF7">
        <v>1600</v>
      </c>
      <c r="AG7">
        <v>1800</v>
      </c>
      <c r="AH7">
        <v>2000</v>
      </c>
    </row>
    <row r="8" spans="1:36">
      <c r="A8">
        <v>39000</v>
      </c>
      <c r="B8">
        <v>402</v>
      </c>
      <c r="C8">
        <v>435</v>
      </c>
      <c r="D8">
        <v>1325</v>
      </c>
      <c r="E8">
        <v>1600</v>
      </c>
      <c r="F8">
        <v>1100</v>
      </c>
      <c r="H8">
        <v>0</v>
      </c>
      <c r="I8">
        <v>0</v>
      </c>
      <c r="J8">
        <v>0</v>
      </c>
      <c r="K8">
        <v>0</v>
      </c>
      <c r="L8">
        <v>0</v>
      </c>
      <c r="M8">
        <v>0</v>
      </c>
      <c r="O8">
        <v>15000</v>
      </c>
      <c r="P8">
        <v>250</v>
      </c>
      <c r="Q8">
        <v>300</v>
      </c>
      <c r="R8">
        <v>1143</v>
      </c>
      <c r="S8">
        <v>2925</v>
      </c>
      <c r="T8">
        <v>4167</v>
      </c>
      <c r="V8">
        <v>0</v>
      </c>
      <c r="W8">
        <v>0</v>
      </c>
      <c r="X8">
        <v>0</v>
      </c>
      <c r="Y8">
        <v>0</v>
      </c>
      <c r="Z8">
        <v>0</v>
      </c>
      <c r="AA8">
        <v>0</v>
      </c>
      <c r="AC8">
        <v>30000</v>
      </c>
      <c r="AD8">
        <v>380</v>
      </c>
      <c r="AE8">
        <v>400</v>
      </c>
      <c r="AF8">
        <v>1500</v>
      </c>
      <c r="AG8">
        <v>1500</v>
      </c>
      <c r="AH8">
        <v>800</v>
      </c>
    </row>
    <row r="9" spans="1:36">
      <c r="A9">
        <v>25000</v>
      </c>
      <c r="B9">
        <v>381</v>
      </c>
      <c r="C9">
        <v>450</v>
      </c>
      <c r="D9">
        <v>1950</v>
      </c>
      <c r="E9">
        <v>2100</v>
      </c>
      <c r="F9">
        <v>2300</v>
      </c>
      <c r="H9">
        <v>0</v>
      </c>
      <c r="I9">
        <v>0</v>
      </c>
      <c r="J9">
        <v>0</v>
      </c>
      <c r="K9">
        <v>0</v>
      </c>
      <c r="L9">
        <v>0</v>
      </c>
      <c r="M9">
        <v>0</v>
      </c>
      <c r="O9">
        <v>1000</v>
      </c>
      <c r="P9">
        <v>250</v>
      </c>
      <c r="Q9">
        <v>232</v>
      </c>
      <c r="R9">
        <v>1290</v>
      </c>
      <c r="S9">
        <v>3570</v>
      </c>
      <c r="T9">
        <v>5000</v>
      </c>
      <c r="V9">
        <v>0</v>
      </c>
      <c r="W9">
        <v>0</v>
      </c>
      <c r="X9">
        <v>0</v>
      </c>
      <c r="Y9">
        <v>0</v>
      </c>
      <c r="Z9">
        <v>0</v>
      </c>
      <c r="AA9">
        <v>0</v>
      </c>
      <c r="AC9">
        <v>2000</v>
      </c>
      <c r="AD9">
        <v>250</v>
      </c>
      <c r="AE9">
        <v>250</v>
      </c>
      <c r="AF9">
        <v>1800</v>
      </c>
      <c r="AG9">
        <v>2000</v>
      </c>
      <c r="AH9">
        <v>4000</v>
      </c>
    </row>
    <row r="10" spans="1:36">
      <c r="A10">
        <v>41000</v>
      </c>
      <c r="B10">
        <v>402</v>
      </c>
      <c r="C10">
        <v>435</v>
      </c>
      <c r="D10">
        <v>1327</v>
      </c>
      <c r="E10">
        <v>1500</v>
      </c>
      <c r="F10">
        <v>900</v>
      </c>
      <c r="H10">
        <v>0</v>
      </c>
      <c r="I10">
        <v>0</v>
      </c>
      <c r="J10">
        <v>0</v>
      </c>
      <c r="K10">
        <v>0</v>
      </c>
      <c r="L10">
        <v>0</v>
      </c>
      <c r="M10">
        <v>0</v>
      </c>
      <c r="O10">
        <v>25000</v>
      </c>
      <c r="P10">
        <v>250</v>
      </c>
      <c r="Q10">
        <v>349</v>
      </c>
      <c r="R10">
        <v>1066</v>
      </c>
      <c r="S10">
        <v>2601</v>
      </c>
      <c r="T10">
        <v>3623</v>
      </c>
      <c r="V10">
        <v>0</v>
      </c>
      <c r="W10">
        <v>0</v>
      </c>
      <c r="X10">
        <v>0</v>
      </c>
      <c r="Y10">
        <v>0</v>
      </c>
      <c r="Z10">
        <v>0</v>
      </c>
      <c r="AA10">
        <v>0</v>
      </c>
      <c r="AC10">
        <v>10000</v>
      </c>
      <c r="AD10">
        <v>260</v>
      </c>
      <c r="AE10">
        <v>280</v>
      </c>
      <c r="AF10">
        <v>1700</v>
      </c>
      <c r="AG10">
        <v>2000</v>
      </c>
      <c r="AH10">
        <v>3000</v>
      </c>
    </row>
    <row r="11" spans="1:36">
      <c r="A11">
        <v>30000</v>
      </c>
      <c r="B11">
        <v>418</v>
      </c>
      <c r="C11">
        <v>447</v>
      </c>
      <c r="D11">
        <v>1625</v>
      </c>
      <c r="E11">
        <v>1900</v>
      </c>
      <c r="F11">
        <v>1880</v>
      </c>
      <c r="H11">
        <v>0</v>
      </c>
      <c r="I11">
        <v>0</v>
      </c>
      <c r="J11">
        <v>0</v>
      </c>
      <c r="K11">
        <v>0</v>
      </c>
      <c r="L11">
        <v>0</v>
      </c>
      <c r="M11">
        <v>0</v>
      </c>
      <c r="O11">
        <v>40000</v>
      </c>
      <c r="P11">
        <v>270</v>
      </c>
      <c r="Q11">
        <v>433</v>
      </c>
      <c r="R11">
        <v>1019</v>
      </c>
      <c r="S11">
        <v>2034</v>
      </c>
      <c r="T11">
        <v>2572</v>
      </c>
      <c r="V11">
        <v>0</v>
      </c>
      <c r="W11">
        <v>0</v>
      </c>
      <c r="X11">
        <v>0</v>
      </c>
      <c r="Y11">
        <v>0</v>
      </c>
      <c r="Z11">
        <v>0</v>
      </c>
      <c r="AA11">
        <v>0</v>
      </c>
      <c r="AC11">
        <v>0</v>
      </c>
      <c r="AD11">
        <v>0</v>
      </c>
      <c r="AE11">
        <v>0</v>
      </c>
      <c r="AF11">
        <v>0</v>
      </c>
      <c r="AG11">
        <v>0</v>
      </c>
      <c r="AH11">
        <v>0</v>
      </c>
    </row>
    <row r="12" spans="1:36">
      <c r="A12">
        <v>20000</v>
      </c>
      <c r="B12">
        <v>349</v>
      </c>
      <c r="C12">
        <v>430</v>
      </c>
      <c r="D12">
        <v>2000</v>
      </c>
      <c r="E12">
        <v>2500</v>
      </c>
      <c r="F12">
        <v>2800</v>
      </c>
      <c r="H12">
        <v>0</v>
      </c>
      <c r="I12">
        <v>0</v>
      </c>
      <c r="J12">
        <v>0</v>
      </c>
      <c r="K12">
        <v>0</v>
      </c>
      <c r="L12">
        <v>0</v>
      </c>
      <c r="M12">
        <v>0</v>
      </c>
      <c r="O12">
        <v>5000</v>
      </c>
      <c r="P12">
        <v>250</v>
      </c>
      <c r="Q12">
        <v>254</v>
      </c>
      <c r="R12">
        <v>1242</v>
      </c>
      <c r="S12">
        <v>3212</v>
      </c>
      <c r="T12">
        <v>4545</v>
      </c>
      <c r="V12">
        <v>0</v>
      </c>
      <c r="W12">
        <v>0</v>
      </c>
      <c r="X12">
        <v>0</v>
      </c>
      <c r="Y12">
        <v>0</v>
      </c>
      <c r="Z12">
        <v>0</v>
      </c>
      <c r="AA12">
        <v>0</v>
      </c>
      <c r="AC12">
        <v>0</v>
      </c>
      <c r="AD12">
        <v>0</v>
      </c>
      <c r="AE12">
        <v>0</v>
      </c>
      <c r="AF12">
        <v>0</v>
      </c>
      <c r="AG12">
        <v>0</v>
      </c>
      <c r="AH12">
        <v>0</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1241CA78185464A8704F65A5BA823D5" ma:contentTypeVersion="2" ma:contentTypeDescription="Create a new document." ma:contentTypeScope="" ma:versionID="dea396825341bc5df4d230377afdcd09">
  <xsd:schema xmlns:xsd="http://www.w3.org/2001/XMLSchema" xmlns:xs="http://www.w3.org/2001/XMLSchema" xmlns:p="http://schemas.microsoft.com/office/2006/metadata/properties" xmlns:ns2="d920d34f-cfd8-4178-bf71-068af07ac108" targetNamespace="http://schemas.microsoft.com/office/2006/metadata/properties" ma:root="true" ma:fieldsID="09546610ef4666821e6bf624e7ac0423" ns2:_="">
    <xsd:import namespace="d920d34f-cfd8-4178-bf71-068af07ac108"/>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20d34f-cfd8-4178-bf71-068af07ac1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FFDA337A-F119-469D-94A1-22717592C7D6}">
  <ds:schemaRefs>
    <ds:schemaRef ds:uri="http://purl.org/dc/dcmitype/"/>
    <ds:schemaRef ds:uri="d920d34f-cfd8-4178-bf71-068af07ac108"/>
    <ds:schemaRef ds:uri="http://purl.org/dc/terms/"/>
    <ds:schemaRef ds:uri="http://schemas.microsoft.com/office/2006/documentManagement/types"/>
    <ds:schemaRef ds:uri="http://schemas.microsoft.com/office/2006/metadata/properties"/>
    <ds:schemaRef ds:uri="http://schemas.openxmlformats.org/package/2006/metadata/core-properties"/>
    <ds:schemaRef ds:uri="http://schemas.microsoft.com/office/infopath/2007/PartnerControls"/>
    <ds:schemaRef ds:uri="http://www.w3.org/XML/1998/namespace"/>
    <ds:schemaRef ds:uri="http://purl.org/dc/elements/1.1/"/>
  </ds:schemaRefs>
</ds:datastoreItem>
</file>

<file path=customXml/itemProps2.xml><?xml version="1.0" encoding="utf-8"?>
<ds:datastoreItem xmlns:ds="http://schemas.openxmlformats.org/officeDocument/2006/customXml" ds:itemID="{65E9182D-94B5-40EB-AB1E-674405E71E61}">
  <ds:schemaRefs>
    <ds:schemaRef ds:uri="http://schemas.microsoft.com/sharepoint/v3/contenttype/forms"/>
  </ds:schemaRefs>
</ds:datastoreItem>
</file>

<file path=customXml/itemProps3.xml><?xml version="1.0" encoding="utf-8"?>
<ds:datastoreItem xmlns:ds="http://schemas.openxmlformats.org/officeDocument/2006/customXml" ds:itemID="{82EB2138-D6B1-4949-92D5-5AA0AE00A23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920d34f-cfd8-4178-bf71-068af07ac1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B513ACA-4C55-4F22-AFE7-A657CA3D967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AL State</vt:lpstr>
      <vt:lpstr>Aircraft</vt:lpstr>
      <vt:lpstr>Aircraft Data</vt:lpstr>
      <vt:lpstr>Compiler</vt:lpstr>
      <vt:lpstr>AFM Climb</vt:lpstr>
      <vt:lpstr>AFMl35 cruise</vt:lpstr>
      <vt:lpstr>Legacy Data</vt:lpstr>
      <vt:lpstr>Aircraft</vt:lpstr>
      <vt:lpstr>data</vt:lpstr>
      <vt:lpstr>data1</vt:lpstr>
      <vt:lpstr>title1</vt:lpstr>
      <vt:lpstr>title2</vt:lpstr>
      <vt:lpstr>value1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Christopher Stobs-Stobart</dc:creator>
  <cp:keywords/>
  <dc:description/>
  <cp:lastModifiedBy>Christopher Stobs-Stobart</cp:lastModifiedBy>
  <cp:revision/>
  <dcterms:created xsi:type="dcterms:W3CDTF">2021-09-04T01:19:03Z</dcterms:created>
  <dcterms:modified xsi:type="dcterms:W3CDTF">2022-10-18T08:43:38Z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0x010100F1241CA78185464A8704F65A5BA823D5</vt:lpwstr>
  </property>
</Properties>
</file>